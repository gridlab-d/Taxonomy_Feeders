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90" yWindow="1680" windowWidth="22170" windowHeight="7875"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Misc!$F$2:$F$5</definedName>
    <definedName name="ValidEdgeStyles">Misc!$B$2:$B$11</definedName>
    <definedName name="ValidEdgeVisibilities">Misc!$A$2:$A$7</definedName>
    <definedName name="ValidGroupShapes">Misc!$E$2:$E$19</definedName>
    <definedName name="ValidVertexLabelPositions">Misc!$G$2:$G$21</definedName>
    <definedName name="ValidVertexShapes">Misc!$D$2:$D$23</definedName>
    <definedName name="ValidVertexVisibilities">Misc!$C$2:$C$9</definedName>
  </definedNames>
  <calcPr calcId="144525"/>
</workbook>
</file>

<file path=xl/calcChain.xml><?xml version="1.0" encoding="utf-8"?>
<calcChain xmlns="http://schemas.openxmlformats.org/spreadsheetml/2006/main">
  <c r="B123" i="7" l="1"/>
  <c r="B122" i="7"/>
  <c r="B125" i="7"/>
  <c r="B124" i="7"/>
  <c r="P45" i="7"/>
  <c r="Q45" i="7" s="1"/>
  <c r="P2" i="7"/>
  <c r="B137" i="7"/>
  <c r="B136" i="7"/>
  <c r="B139" i="7"/>
  <c r="B138" i="7"/>
  <c r="R45" i="7"/>
  <c r="S45" i="7" s="1"/>
  <c r="R2" i="7"/>
  <c r="B109" i="7"/>
  <c r="B108" i="7"/>
  <c r="B111" i="7"/>
  <c r="B110" i="7"/>
  <c r="N45" i="7"/>
  <c r="O45" i="7" s="1"/>
  <c r="N2" i="7"/>
  <c r="B95" i="7"/>
  <c r="B94" i="7"/>
  <c r="B81" i="7"/>
  <c r="B80" i="7"/>
  <c r="B97" i="7"/>
  <c r="B96" i="7"/>
  <c r="L45" i="7"/>
  <c r="M45" i="7" s="1"/>
  <c r="L2" i="7"/>
  <c r="B67" i="7"/>
  <c r="B66" i="7"/>
  <c r="B53" i="7"/>
  <c r="B52" i="7"/>
  <c r="B83" i="7"/>
  <c r="B82" i="7"/>
  <c r="J45" i="7"/>
  <c r="K45" i="7" s="1"/>
  <c r="J2" i="7"/>
  <c r="B69" i="7"/>
  <c r="B68" i="7"/>
  <c r="H45" i="7"/>
  <c r="I45" i="7" s="1"/>
  <c r="H2" i="7"/>
  <c r="B55" i="7"/>
  <c r="B54" i="7"/>
  <c r="F45" i="7"/>
  <c r="G45" i="7" s="1"/>
  <c r="F2" i="7"/>
  <c r="B39" i="7"/>
  <c r="B38" i="7"/>
  <c r="B41" i="7"/>
  <c r="B40"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Label Font Size
</t>
        </r>
        <r>
          <rPr>
            <sz val="8"/>
            <color indexed="81"/>
            <rFont val="Tahoma"/>
            <family val="2"/>
          </rPr>
          <t>Enter an optional label font size between 8 and 72.</t>
        </r>
        <r>
          <rPr>
            <b/>
            <sz val="8"/>
            <color indexed="81"/>
            <rFont val="Tahoma"/>
            <family val="2"/>
          </rPr>
          <t xml:space="preserve">
</t>
        </r>
      </text>
    </comment>
    <comment ref="K2" authorId="0">
      <text>
        <r>
          <rPr>
            <b/>
            <sz val="8"/>
            <color indexed="81"/>
            <rFont val="Tahoma"/>
            <family val="2"/>
          </rPr>
          <t xml:space="preserve">Edge ID
</t>
        </r>
        <r>
          <rPr>
            <sz val="8"/>
            <color indexed="81"/>
            <rFont val="Tahoma"/>
            <family val="2"/>
          </rPr>
          <t>This is a unique ID that gets filled in automatically.  Do not edit this column.</t>
        </r>
      </text>
    </comment>
    <comment ref="M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2" authorId="0">
      <text>
        <r>
          <rPr>
            <b/>
            <sz val="8"/>
            <color indexed="81"/>
            <rFont val="Tahoma"/>
            <family val="2"/>
          </rPr>
          <t xml:space="preserve">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 xml:space="preserve">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<sst xmlns="http://schemas.openxmlformats.org/spreadsheetml/2006/main" count="585" uniqueCount="235">
  <si>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</si>
  <si>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</si>
  <si>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</si>
  <si>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</si>
  <si>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</si>
  <si>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</si>
  <si>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</si>
  <si>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</si>
  <si>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</si>
  <si>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</si>
  <si>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</si>
  <si>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</si>
  <si>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</si>
  <si>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</si>
  <si>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</si>
  <si>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</si>
  <si>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</si>
  <si>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</si>
  <si>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</si>
  <si>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</si>
  <si>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</si>
  <si>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</si>
  <si>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</si>
  <si>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</si>
  <si>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</si>
  <si>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</si>
  <si>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</si>
  <si>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</si>
  <si>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</si>
  <si>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</si>
  <si>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</si>
  <si>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</si>
  <si>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</si>
  <si>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</si>
  <si>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</si>
  <si>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</si>
  <si>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</si>
  <si>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</si>
  <si>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</si>
  <si>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</si>
  <si>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</si>
  <si>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</si>
  <si>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</si>
  <si>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</si>
  <si>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</si>
  <si>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</si>
  <si>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</si>
  <si>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</si>
  <si>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</si>
  <si>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</si>
  <si>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</si>
  <si>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</si>
  <si>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</si>
  <si>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</si>
  <si>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</si>
  <si>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</si>
  <si>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</si>
  <si>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</si>
  <si>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</si>
  <si>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</si>
  <si>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</si>
  <si>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</si>
  <si>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</si>
  <si>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</si>
  <si>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</si>
  <si>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</si>
  <si>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</si>
  <si>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</si>
  <si>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</si>
  <si>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</si>
  <si>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</si>
  <si>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</si>
  <si>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</si>
  <si>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</si>
  <si>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</si>
  <si>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</si>
  <si>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</si>
  <si>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</si>
  <si>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</si>
  <si>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</si>
  <si>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</si>
  <si>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</si>
  <si>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</si>
  <si>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</si>
  <si>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</si>
  <si>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</si>
  <si>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</si>
  <si>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</si>
  <si>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</si>
  <si>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</si>
  <si>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</si>
  <si>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</si>
  <si>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</si>
  <si>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</si>
  <si>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</si>
  <si>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</si>
  <si>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</si>
  <si>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</si>
  <si>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</si>
  <si>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</si>
  <si>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</si>
  <si>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</si>
  <si>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</si>
  <si>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</si>
  <si>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</si>
  <si>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</si>
  <si>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</si>
  <si>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</si>
  <si>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</si>
  <si>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</si>
  <si>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</si>
  <si>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</si>
  <si>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</si>
  <si>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</si>
  <si>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</si>
  <si>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</si>
  <si>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</si>
  <si>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</si>
  <si>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</si>
  <si>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</si>
  <si>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</si>
  <si>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</si>
  <si>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</si>
  <si>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</si>
  <si>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</si>
  <si>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</si>
  <si>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</si>
  <si>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</si>
  <si>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</si>
  <si>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</si>
  <si>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</si>
  <si>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</si>
  <si>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</si>
  <si>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</si>
  <si>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</si>
  <si>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</si>
  <si>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</si>
  <si>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</si>
  <si>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</si>
  <si>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</si>
  <si>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</si>
  <si>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</si>
  <si>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</si>
  <si>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</si>
  <si>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</si>
  <si>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</si>
  <si>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</si>
  <si>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</si>
  <si>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</si>
  <si>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</si>
  <si>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</si>
  <si>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</si>
  <si>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</si>
  <si>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</si>
  <si>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</si>
  <si>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</si>
  <si>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</si>
  <si>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</si>
  <si>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</si>
  <si>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</si>
  <si>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Show Group Visual Attributes</t>
  </si>
  <si>
    <t>Show Group Other Columns</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</si>
  <si>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</si>
  <si>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</si>
  <si>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</si>
  <si>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</si>
  <si>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</si>
  <si>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</si>
  <si>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</si>
  <si>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</si>
  <si>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</si>
  <si>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</si>
  <si>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</si>
  <si>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Show Group Graph Metrics</t>
  </si>
  <si>
    <t>Nowhere</t>
  </si>
  <si>
    <t>Label Text Color</t>
  </si>
  <si>
    <t>Label Font Size</t>
  </si>
  <si>
    <t>Graph Metric</t>
  </si>
  <si>
    <t>Readability Metric</t>
  </si>
  <si>
    <t>Valid Group Shapes</t>
  </si>
  <si>
    <t>node_28</t>
  </si>
  <si>
    <t>reg_1</t>
  </si>
  <si>
    <t>meter_4</t>
  </si>
  <si>
    <t>node_11</t>
  </si>
  <si>
    <t>fuse_1</t>
  </si>
  <si>
    <t>node_12</t>
  </si>
  <si>
    <t>node_16</t>
  </si>
  <si>
    <t>fuse_2</t>
  </si>
  <si>
    <t>node_15</t>
  </si>
  <si>
    <t>fuse_3</t>
  </si>
  <si>
    <t>node_17</t>
  </si>
  <si>
    <t>load_1</t>
  </si>
  <si>
    <t>meter_1</t>
  </si>
  <si>
    <t>load_2</t>
  </si>
  <si>
    <t>meter_2</t>
  </si>
  <si>
    <t>load_3</t>
  </si>
  <si>
    <t>meter_3</t>
  </si>
  <si>
    <t>node_27</t>
  </si>
  <si>
    <t>node_21</t>
  </si>
  <si>
    <t>switch_1</t>
  </si>
  <si>
    <t>node_20</t>
  </si>
  <si>
    <t>node_22</t>
  </si>
  <si>
    <t>switch_2</t>
  </si>
  <si>
    <t>node_23</t>
  </si>
  <si>
    <t>node_10</t>
  </si>
  <si>
    <t>switch_3</t>
  </si>
  <si>
    <t>node_25</t>
  </si>
  <si>
    <t>node_14</t>
  </si>
  <si>
    <t>switch_4</t>
  </si>
  <si>
    <t>node_13</t>
  </si>
  <si>
    <t>node_19</t>
  </si>
  <si>
    <t>switch_5</t>
  </si>
  <si>
    <t>node_18</t>
  </si>
  <si>
    <t>node_8</t>
  </si>
  <si>
    <t>xfmr_1</t>
  </si>
  <si>
    <t>node_9</t>
  </si>
  <si>
    <t>xfmr_2</t>
  </si>
  <si>
    <t>node_7</t>
  </si>
  <si>
    <t>xfmr_3</t>
  </si>
  <si>
    <t>node_5</t>
  </si>
  <si>
    <t>node_6</t>
  </si>
  <si>
    <t>node_4</t>
  </si>
  <si>
    <t>node_3</t>
  </si>
  <si>
    <t>node_2</t>
  </si>
  <si>
    <t>node_1</t>
  </si>
  <si>
    <t>node_24</t>
  </si>
  <si>
    <t>node_26</t>
  </si>
  <si>
    <t>ABCN</t>
  </si>
  <si>
    <t>Black</t>
  </si>
  <si>
    <t>image</t>
  </si>
  <si>
    <t>C:\Energy_Graph\Symbols\Regulator Symbol.png</t>
  </si>
  <si>
    <t>C:\Energy_Graph\Symbols\Fuse Symbol.png</t>
  </si>
  <si>
    <t>triangle</t>
  </si>
  <si>
    <t>C:\Energy_Graph\Symbols\Switch Symbol.png</t>
  </si>
  <si>
    <t>C:\Energy_Graph\Symbols\Transformer Symbol.png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</si>
</sst>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25"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xf numFmtId="0" fontId="12" fillId="0" borderId="0" applyNumberFormat="0" applyFill="0" applyBorder="0" applyAlignment="0" applyProtection="0"/>
    <xf numFmtId="0" fontId="13" fillId="0" borderId="8" applyNumberFormat="0" applyFill="0" applyAlignment="0" applyProtection="0"/>
    <xf numFmtId="0" fontId="14" fillId="0" borderId="9" applyNumberFormat="0" applyFill="0" applyAlignment="0" applyProtection="0"/>
    <xf numFmtId="0" fontId="15" fillId="0" borderId="10" applyNumberFormat="0" applyFill="0" applyAlignment="0" applyProtection="0"/>
    <xf numFmtId="0" fontId="15" fillId="0" borderId="0" applyNumberFormat="0" applyFill="0" applyBorder="0" applyAlignment="0" applyProtection="0"/>
    <xf numFmtId="0" fontId="16" fillId="10"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9" fillId="13" borderId="11" applyNumberFormat="0" applyAlignment="0" applyProtection="0"/>
    <xf numFmtId="0" fontId="20" fillId="14" borderId="12" applyNumberFormat="0" applyAlignment="0" applyProtection="0"/>
    <xf numFmtId="0" fontId="21" fillId="14" borderId="11" applyNumberFormat="0" applyAlignment="0" applyProtection="0"/>
    <xf numFmtId="0" fontId="22" fillId="0" borderId="13" applyNumberFormat="0" applyFill="0" applyAlignment="0" applyProtection="0"/>
    <xf numFmtId="0" fontId="7" fillId="15" borderId="14" applyNumberFormat="0" applyAlignment="0" applyProtection="0"/>
    <xf numFmtId="0" fontId="23" fillId="0" borderId="0" applyNumberFormat="0" applyFill="0" applyBorder="0" applyAlignment="0" applyProtection="0"/>
    <xf numFmtId="0" fontId="5" fillId="16" borderId="15" applyNumberFormat="0" applyFont="0" applyAlignment="0" applyProtection="0"/>
    <xf numFmtId="0" fontId="24" fillId="0" borderId="0" applyNumberFormat="0" applyFill="0" applyBorder="0" applyAlignment="0" applyProtection="0"/>
    <xf numFmtId="0" fontId="1" fillId="0" borderId="16" applyNumberFormat="0" applyFill="0" applyAlignment="0" applyProtection="0"/>
    <xf numFmtId="0" fontId="6"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6" fillId="40" borderId="0" applyNumberFormat="0" applyBorder="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0" fillId="2" borderId="1" xfId="1" applyNumberFormat="1" applyFont="1"/>
    <xf numFmtId="0" fontId="0" fillId="3" borderId="1" xfId="7" applyNumberFormat="1" applyFont="1"/>
    <xf numFmtId="166" fontId="0" fillId="3" borderId="1" xfId="7" applyNumberFormat="1" applyFont="1"/>
    <xf numFmtId="0" fontId="11" fillId="2" borderId="1" xfId="1" applyNumberFormat="1" applyFont="1" applyAlignment="1">
      <alignment wrapText="1"/>
    </xf>
    <xf numFmtId="165" fontId="0" fillId="3" borderId="1" xfId="7" applyNumberFormat="1" applyFont="1"/>
    <xf numFmtId="0" fontId="6" fillId="6" borderId="1" xfId="6" applyNumberFormat="1"/>
    <xf numFmtId="0" fontId="0" fillId="0" borderId="0" xfId="0"/>
    <xf numFmtId="164" fontId="0" fillId="3" borderId="1" xfId="7" applyNumberFormat="1" applyFont="1"/>
    <xf numFmtId="0" fontId="0" fillId="0" borderId="0" xfId="0"/>
    <xf numFmtId="0" fontId="0" fillId="0" borderId="0" xfId="0"/>
    <xf numFmtId="0" fontId="0" fillId="0" borderId="0" xfId="0"/>
    <xf numFmtId="0" fontId="0" fillId="0" borderId="0" xfId="0"/>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5" builtinId="27" customBuiltin="1"/>
    <cellStyle name="Calculation" xfId="19" builtinId="22" customBuiltin="1"/>
    <cellStyle name="Check Cell" xfId="21" builtinId="23" customBuiltin="1"/>
    <cellStyle name="Explanatory Text" xfId="24" builtinId="53" customBuiltin="1"/>
    <cellStyle name="Good" xfId="14" builtinId="26" customBuiltin="1"/>
    <cellStyle name="Heading 1" xfId="10" builtinId="16" customBuiltin="1"/>
    <cellStyle name="Heading 2" xfId="11" builtinId="17" customBuiltin="1"/>
    <cellStyle name="Heading 3" xfId="12" builtinId="18" customBuiltin="1"/>
    <cellStyle name="Heading 4" xfId="13" builtinId="19" customBuiltin="1"/>
    <cellStyle name="Input" xfId="17" builtinId="20" customBuiltin="1"/>
    <cellStyle name="Linked Cell" xfId="20" builtinId="24" customBuiltin="1"/>
    <cellStyle name="Neutral" xfId="16" builtinId="28" customBuiltin="1"/>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 name="Note" xfId="23" builtinId="10" customBuiltin="1"/>
    <cellStyle name="Output" xfId="18" builtinId="21" customBuiltin="1"/>
    <cellStyle name="Title" xfId="9" builtinId="15" customBuiltin="1"/>
    <cellStyle name="Total" xfId="25" builtinId="25" customBuiltin="1"/>
    <cellStyle name="Warning Text" xfId="22" builtinId="11" customBuiltin="1"/>
  </cellStyles>
  <dxfs count="90">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89"/>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2624384"/>
        <c:axId val="112626304"/>
      </c:barChart>
      <c:catAx>
        <c:axId val="112624384"/>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112626304"/>
        <c:crosses val="autoZero"/>
        <c:auto val="1"/>
        <c:lblAlgn val="ctr"/>
        <c:lblOffset val="100"/>
        <c:noMultiLvlLbl val="0"/>
      </c:catAx>
      <c:valAx>
        <c:axId val="11262630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2624384"/>
        <c:crosses val="autoZero"/>
        <c:crossBetween val="between"/>
      </c:valAx>
    </c:plotArea>
    <c:plotVisOnly val="0"/>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2634880"/>
        <c:axId val="112649344"/>
      </c:barChart>
      <c:catAx>
        <c:axId val="112634880"/>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112649344"/>
        <c:crosses val="autoZero"/>
        <c:auto val="1"/>
        <c:lblAlgn val="ctr"/>
        <c:lblOffset val="100"/>
        <c:noMultiLvlLbl val="0"/>
      </c:catAx>
      <c:valAx>
        <c:axId val="11264934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2634880"/>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1179264"/>
        <c:axId val="111181184"/>
      </c:barChart>
      <c:catAx>
        <c:axId val="111179264"/>
        <c:scaling>
          <c:orientation val="minMax"/>
        </c:scaling>
        <c:delete val="1"/>
        <c:axPos val="b"/>
        <c:title>
          <c:tx>
            <c:rich>
              <a:bodyPr/>
              <a:lstStyle/>
              <a:p>
                <a:pPr>
                  <a:defRPr/>
                </a:pPr>
                <a:r>
                  <a:rPr lang="en-US"/>
                  <a:t>Out-Degree</a:t>
                </a:r>
              </a:p>
            </c:rich>
          </c:tx>
          <c:layout>
            <c:manualLayout>
              <c:xMode val="edge"/>
              <c:yMode val="edge"/>
              <c:x val="0.41379516818709683"/>
              <c:y val="0.80898890864449546"/>
            </c:manualLayout>
          </c:layout>
          <c:overlay val="0"/>
        </c:title>
        <c:numFmt formatCode="#,##0.00" sourceLinked="1"/>
        <c:majorTickMark val="out"/>
        <c:minorTickMark val="none"/>
        <c:tickLblPos val="none"/>
        <c:crossAx val="111181184"/>
        <c:crosses val="autoZero"/>
        <c:auto val="1"/>
        <c:lblAlgn val="ctr"/>
        <c:lblOffset val="100"/>
        <c:noMultiLvlLbl val="0"/>
      </c:catAx>
      <c:valAx>
        <c:axId val="11118118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1179264"/>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1210496"/>
        <c:axId val="111212416"/>
      </c:barChart>
      <c:catAx>
        <c:axId val="111210496"/>
        <c:scaling>
          <c:orientation val="minMax"/>
        </c:scaling>
        <c:delete val="1"/>
        <c:axPos val="b"/>
        <c:title>
          <c:tx>
            <c:rich>
              <a:bodyPr/>
              <a:lstStyle/>
              <a:p>
                <a:pPr>
                  <a:defRPr/>
                </a:pPr>
                <a:r>
                  <a:rPr lang="en-US"/>
                  <a:t>Betweenness Centrality</a:t>
                </a:r>
              </a:p>
            </c:rich>
          </c:tx>
          <c:layout>
            <c:manualLayout>
              <c:xMode val="edge"/>
              <c:yMode val="edge"/>
              <c:x val="0.32728710116055604"/>
              <c:y val="0.82619320971975252"/>
            </c:manualLayout>
          </c:layout>
          <c:overlay val="0"/>
        </c:title>
        <c:numFmt formatCode="#,##0.00" sourceLinked="1"/>
        <c:majorTickMark val="out"/>
        <c:minorTickMark val="none"/>
        <c:tickLblPos val="none"/>
        <c:crossAx val="111212416"/>
        <c:crosses val="autoZero"/>
        <c:auto val="1"/>
        <c:lblAlgn val="ctr"/>
        <c:lblOffset val="100"/>
        <c:noMultiLvlLbl val="0"/>
      </c:catAx>
      <c:valAx>
        <c:axId val="1112124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1210496"/>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2549888"/>
        <c:axId val="112551808"/>
      </c:barChart>
      <c:catAx>
        <c:axId val="112549888"/>
        <c:scaling>
          <c:orientation val="minMax"/>
        </c:scaling>
        <c:delete val="1"/>
        <c:axPos val="b"/>
        <c:title>
          <c:tx>
            <c:rich>
              <a:bodyPr/>
              <a:lstStyle/>
              <a:p>
                <a:pPr>
                  <a:defRPr/>
                </a:pPr>
                <a:r>
                  <a:rPr lang="en-US"/>
                  <a:t>Closeness Centrality</a:t>
                </a:r>
              </a:p>
            </c:rich>
          </c:tx>
          <c:layout>
            <c:manualLayout>
              <c:xMode val="edge"/>
              <c:yMode val="edge"/>
              <c:x val="0.35406086287407879"/>
              <c:y val="0.82619320971975252"/>
            </c:manualLayout>
          </c:layout>
          <c:overlay val="0"/>
        </c:title>
        <c:numFmt formatCode="#,##0.00" sourceLinked="1"/>
        <c:majorTickMark val="out"/>
        <c:minorTickMark val="none"/>
        <c:tickLblPos val="none"/>
        <c:crossAx val="112551808"/>
        <c:crosses val="autoZero"/>
        <c:auto val="1"/>
        <c:lblAlgn val="ctr"/>
        <c:lblOffset val="100"/>
        <c:noMultiLvlLbl val="0"/>
      </c:catAx>
      <c:valAx>
        <c:axId val="11255180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2549888"/>
        <c:crosses val="autoZero"/>
        <c:crossBetween val="between"/>
      </c:valAx>
    </c:plotArea>
    <c:plotVisOnly val="0"/>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2573056"/>
        <c:axId val="112579328"/>
      </c:barChart>
      <c:catAx>
        <c:axId val="112573056"/>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755"/>
              <c:y val="0.82619320971975252"/>
            </c:manualLayout>
          </c:layout>
          <c:overlay val="0"/>
        </c:title>
        <c:numFmt formatCode="#,##0.00" sourceLinked="1"/>
        <c:majorTickMark val="out"/>
        <c:minorTickMark val="none"/>
        <c:tickLblPos val="none"/>
        <c:crossAx val="112579328"/>
        <c:crosses val="autoZero"/>
        <c:auto val="1"/>
        <c:lblAlgn val="ctr"/>
        <c:lblOffset val="100"/>
        <c:noMultiLvlLbl val="0"/>
      </c:catAx>
      <c:valAx>
        <c:axId val="11257932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2573056"/>
        <c:crosses val="autoZero"/>
        <c:crossBetween val="between"/>
      </c:valAx>
    </c:plotArea>
    <c:plotVisOnly val="0"/>
    <c:dispBlanksAs val="gap"/>
    <c:showDLblsOverMax val="0"/>
  </c:chart>
  <c:printSettings>
    <c:headerFooter/>
    <c:pageMargins b="0.75000000000001277" l="0.70000000000000062" r="0.70000000000000062" t="0.750000000000012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3071232"/>
        <c:axId val="113073152"/>
      </c:barChart>
      <c:catAx>
        <c:axId val="113071232"/>
        <c:scaling>
          <c:orientation val="minMax"/>
        </c:scaling>
        <c:delete val="1"/>
        <c:axPos val="b"/>
        <c:title>
          <c:tx>
            <c:rich>
              <a:bodyPr/>
              <a:lstStyle/>
              <a:p>
                <a:pPr>
                  <a:defRPr/>
                </a:pPr>
                <a:r>
                  <a:rPr lang="en-US"/>
                  <a:t>Clustering Coefficient</a:t>
                </a:r>
              </a:p>
            </c:rich>
          </c:tx>
          <c:layout>
            <c:manualLayout>
              <c:xMode val="edge"/>
              <c:yMode val="edge"/>
              <c:x val="0.33732726180312778"/>
              <c:y val="0.82619320971975252"/>
            </c:manualLayout>
          </c:layout>
          <c:overlay val="0"/>
        </c:title>
        <c:numFmt formatCode="#,##0.00" sourceLinked="1"/>
        <c:majorTickMark val="out"/>
        <c:minorTickMark val="none"/>
        <c:tickLblPos val="none"/>
        <c:crossAx val="113073152"/>
        <c:crosses val="autoZero"/>
        <c:auto val="1"/>
        <c:lblAlgn val="ctr"/>
        <c:lblOffset val="100"/>
        <c:noMultiLvlLbl val="0"/>
      </c:catAx>
      <c:valAx>
        <c:axId val="11307315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071232"/>
        <c:crosses val="autoZero"/>
        <c:crossBetween val="between"/>
      </c:valAx>
    </c:plotArea>
    <c:plotVisOnly val="0"/>
    <c:dispBlanksAs val="gap"/>
    <c:showDLblsOverMax val="0"/>
  </c:chart>
  <c:printSettings>
    <c:headerFooter/>
    <c:pageMargins b="0.75000000000001299" l="0.70000000000000062" r="0.70000000000000062" t="0.750000000000012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3085824"/>
        <c:axId val="113108480"/>
      </c:barChart>
      <c:catAx>
        <c:axId val="113085824"/>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3108480"/>
        <c:crosses val="autoZero"/>
        <c:auto val="1"/>
        <c:lblAlgn val="ctr"/>
        <c:lblOffset val="100"/>
        <c:noMultiLvlLbl val="0"/>
      </c:catAx>
      <c:valAx>
        <c:axId val="11310848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085824"/>
        <c:crosses val="autoZero"/>
        <c:crossBetween val="between"/>
      </c:valAx>
    </c:plotArea>
    <c:plotVisOnly val="0"/>
    <c:dispBlanksAs val="gap"/>
    <c:showDLblsOverMax val="0"/>
  </c:chart>
  <c:printSettings>
    <c:headerFooter/>
    <c:pageMargins b="0.75000000000001321" l="0.70000000000000062" r="0.70000000000000062" t="0.7500000000000132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417E-3"/>
          <c:y val="8.0430855234004828E-3"/>
          <c:w val="0.99723592884221435"/>
          <c:h val="0.9839124654872513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3253376"/>
        <c:axId val="113255168"/>
      </c:barChart>
      <c:catAx>
        <c:axId val="113253376"/>
        <c:scaling>
          <c:orientation val="minMax"/>
        </c:scaling>
        <c:delete val="1"/>
        <c:axPos val="b"/>
        <c:numFmt formatCode="#,##0.00" sourceLinked="1"/>
        <c:majorTickMark val="out"/>
        <c:minorTickMark val="none"/>
        <c:tickLblPos val="none"/>
        <c:crossAx val="113255168"/>
        <c:crosses val="autoZero"/>
        <c:auto val="1"/>
        <c:lblAlgn val="ctr"/>
        <c:lblOffset val="100"/>
        <c:noMultiLvlLbl val="0"/>
      </c:catAx>
      <c:valAx>
        <c:axId val="113255168"/>
        <c:scaling>
          <c:orientation val="minMax"/>
        </c:scaling>
        <c:delete val="1"/>
        <c:axPos val="l"/>
        <c:numFmt formatCode="General" sourceLinked="1"/>
        <c:majorTickMark val="out"/>
        <c:minorTickMark val="none"/>
        <c:tickLblPos val="none"/>
        <c:crossAx val="113253376"/>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343" l="0.70000000000000062" r="0.70000000000000062" t="0.7500000000000134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29</xdr:row>
      <xdr:rowOff>38100</xdr:rowOff>
    </xdr:from>
    <xdr:to>
      <xdr:col>1</xdr:col>
      <xdr:colOff>918209</xdr:colOff>
      <xdr:row>36</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43</xdr:row>
      <xdr:rowOff>38100</xdr:rowOff>
    </xdr:from>
    <xdr:to>
      <xdr:col>1</xdr:col>
      <xdr:colOff>918209</xdr:colOff>
      <xdr:row>50</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57</xdr:row>
      <xdr:rowOff>28575</xdr:rowOff>
    </xdr:from>
    <xdr:to>
      <xdr:col>1</xdr:col>
      <xdr:colOff>918209</xdr:colOff>
      <xdr:row>64</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9525</xdr:rowOff>
    </xdr:from>
    <xdr:to>
      <xdr:col>1</xdr:col>
      <xdr:colOff>918210</xdr:colOff>
      <xdr:row>78</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85</xdr:row>
      <xdr:rowOff>19050</xdr:rowOff>
    </xdr:from>
    <xdr:to>
      <xdr:col>2</xdr:col>
      <xdr:colOff>0</xdr:colOff>
      <xdr:row>92</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19050</xdr:rowOff>
    </xdr:from>
    <xdr:to>
      <xdr:col>1</xdr:col>
      <xdr:colOff>918210</xdr:colOff>
      <xdr:row>106</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127</xdr:row>
      <xdr:rowOff>9525</xdr:rowOff>
    </xdr:from>
    <xdr:to>
      <xdr:col>1</xdr:col>
      <xdr:colOff>918210</xdr:colOff>
      <xdr:row>134</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113</xdr:row>
      <xdr:rowOff>0</xdr:rowOff>
    </xdr:from>
    <xdr:to>
      <xdr:col>1</xdr:col>
      <xdr:colOff>918210</xdr:colOff>
      <xdr:row>120</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xdr:row>
      <xdr:rowOff>0</xdr:rowOff>
    </xdr:from>
    <xdr:to>
      <xdr:col>21</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M48" totalsRowShown="0" headerRowDxfId="88" dataDxfId="87">
  <autoFilter ref="A2:M48"/>
  <tableColumns count="13">
    <tableColumn id="1" name="Vertex 1" dataDxfId="86" dataCellStyle="NodeXL Required"/>
    <tableColumn id="2" name="Vertex 2" dataDxfId="85" dataCellStyle="NodeXL Required"/>
    <tableColumn id="3" name="Color" dataDxfId="84" dataCellStyle="NodeXL Visual Property"/>
    <tableColumn id="4" name="Width" dataDxfId="83" dataCellStyle="NodeXL Visual Property"/>
    <tableColumn id="11" name="Style" dataDxfId="82" dataCellStyle="NodeXL Visual Property"/>
    <tableColumn id="5" name="Opacity" dataDxfId="81" dataCellStyle="NodeXL Visual Property"/>
    <tableColumn id="6" name="Visibility" dataDxfId="80" dataCellStyle="NodeXL Visual Property"/>
    <tableColumn id="10" name="Label" dataDxfId="79" dataCellStyle="NodeXL Label"/>
    <tableColumn id="12" name="Label Text Color" dataDxfId="78" dataCellStyle="NodeXL Label"/>
    <tableColumn id="13" name="Label Font Size" dataDxfId="77" dataCellStyle="NodeXL Label"/>
    <tableColumn id="7" name="ID" dataDxfId="76" dataCellStyle="NodeXL Do Not Edit"/>
    <tableColumn id="9" name="Dynamic Filter" dataDxfId="75" dataCellStyle="NodeXL Do Not Edit"/>
    <tableColumn id="8" name="Add Your Own Columns Here" dataDxfId="74"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49" totalsRowShown="0" headerRowDxfId="73" dataDxfId="72">
  <autoFilter ref="A2:AB49"/>
  <tableColumns count="28">
    <tableColumn id="1" name="Vertex" dataDxfId="71" dataCellStyle="NodeXL Required"/>
    <tableColumn id="21" name="Degree" dataDxfId="70" dataCellStyle="NodeXL Graph Metric"/>
    <tableColumn id="22" name="In-Degree" dataDxfId="69" dataCellStyle="NodeXL Graph Metric"/>
    <tableColumn id="23" name="Out-Degree" dataDxfId="68" dataCellStyle="NodeXL Graph Metric"/>
    <tableColumn id="24" name="Betweenness Centrality" dataDxfId="67" dataCellStyle="NodeXL Graph Metric"/>
    <tableColumn id="25" name="Closeness Centrality" dataDxfId="66" dataCellStyle="NodeXL Graph Metric"/>
    <tableColumn id="26" name="Eigenvector Centrality" dataDxfId="65" dataCellStyle="NodeXL Graph Metric"/>
    <tableColumn id="15" name="PageRank" dataDxfId="64" dataCellStyle="NodeXL Graph Metric"/>
    <tableColumn id="27" name="Clustering Coefficient" dataDxfId="63" dataCellStyle="NodeXL Graph Metric"/>
    <tableColumn id="2" name="Color" dataDxfId="62" dataCellStyle="NodeXL Visual Property"/>
    <tableColumn id="5" name="Shape" dataDxfId="61" dataCellStyle="NodeXL Visual Property"/>
    <tableColumn id="6" name="Size" dataDxfId="60" dataCellStyle="NodeXL Visual Property"/>
    <tableColumn id="4" name="Opacity" dataDxfId="59" dataCellStyle="NodeXL Visual Property"/>
    <tableColumn id="7" name="Image File" dataDxfId="58" dataCellStyle="NodeXL Visual Property"/>
    <tableColumn id="3" name="Visibility" dataDxfId="57" dataCellStyle="NodeXL Visual Property"/>
    <tableColumn id="10" name="Label" dataDxfId="56" dataCellStyle="NodeXL Label"/>
    <tableColumn id="16" name="Label Fill Color" dataDxfId="55" dataCellStyle="NodeXL Label"/>
    <tableColumn id="9" name="Label Position" dataDxfId="54" dataCellStyle="NodeXL Label"/>
    <tableColumn id="8" name="Tooltip" dataDxfId="53" dataCellStyle="NodeXL Label"/>
    <tableColumn id="18" name="Layout Order" dataDxfId="52" dataCellStyle="NodeXL Layout"/>
    <tableColumn id="13" name="X" dataDxfId="51" dataCellStyle="NodeXL Layout"/>
    <tableColumn id="14" name="Y" dataDxfId="50" dataCellStyle="NodeXL Layout"/>
    <tableColumn id="12" name="Locked?" dataDxfId="49" dataCellStyle="NodeXL Layout"/>
    <tableColumn id="19" name="Polar R" dataDxfId="48" dataCellStyle="NodeXL Layout"/>
    <tableColumn id="20" name="Polar Angle" dataDxfId="47" dataCellStyle="NodeXL Layout"/>
    <tableColumn id="11" name="ID" dataDxfId="46" dataCellStyle="NodeXL Do Not Edit"/>
    <tableColumn id="28" name="Dynamic Filter" dataDxfId="45" dataCellStyle="NodeXL Do Not Edit"/>
    <tableColumn id="17" name="Add Your Own Columns Here" dataDxfId="44"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Q3" insertRow="1" totalsRowShown="0" headerRowDxfId="43">
  <autoFilter ref="A2:Q3"/>
  <tableColumns count="17">
    <tableColumn id="1" name="Group" dataDxfId="42" dataCellStyle="NodeXL Required"/>
    <tableColumn id="2" name="Vertex Color" dataDxfId="41" dataCellStyle="NodeXL Visual Property"/>
    <tableColumn id="3" name="Vertex Shape" dataDxfId="40" dataCellStyle="NodeXL Visual Property"/>
    <tableColumn id="4" name="Collapsed?" dataCellStyle="NodeXL Visual Property"/>
    <tableColumn id="6" name="ID" dataDxfId="39" dataCellStyle="NodeXL Do Not Edit"/>
    <tableColumn id="5" name="Vertices" dataDxfId="38" dataCellStyle="NodeXL Graph Metric"/>
    <tableColumn id="7" name="Unique Edges" dataDxfId="37" dataCellStyle="NodeXL Graph Metric"/>
    <tableColumn id="8" name="Edges With Duplicates" dataDxfId="36" dataCellStyle="NodeXL Graph Metric"/>
    <tableColumn id="9" name="Total Edges" dataDxfId="35" dataCellStyle="NodeXL Graph Metric"/>
    <tableColumn id="10" name="Self-Loops"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2" totalsRowShown="0" dataCellStyle="NodeXL Graph Metric">
  <autoFilter ref="A1:B22"/>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5:B27" totalsRowShown="0" dataCellStyle="NodeXL Graph Metric">
  <autoFilter ref="A25:B27"/>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I1:J18" totalsRowShown="0" headerRowDxfId="1">
  <autoFilter ref="I1:J18"/>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L1:O2" totalsRowShown="0" headerRowDxfId="0">
  <autoFilter ref="L1:O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48"/>
  <sheetViews>
    <sheetView workbookViewId="0">
      <pane xSplit="2" ySplit="2" topLeftCell="C3" activePane="bottomRight" state="frozen"/>
      <selection pane="topRight" activeCell="C1" sqref="C1"/>
      <selection pane="bottomLeft" activeCell="A3" sqref="A3"/>
      <selection pane="bottomRight" activeCell="M3" sqref="M3:M48"/>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1" hidden="1" customWidth="1"/>
    <col min="12" max="12" width="10.85546875" hidden="1" customWidth="1"/>
    <col min="13" max="13" width="16" bestFit="1" customWidth="1"/>
  </cols>
  <sheetData>
    <row r="1" spans="1:13" x14ac:dyDescent="0.25">
      <c r="C1" s="19" t="s">
        <v>48</v>
      </c>
      <c r="D1" s="20"/>
      <c r="E1" s="20"/>
      <c r="F1" s="20"/>
      <c r="G1" s="19"/>
      <c r="H1" s="17" t="s">
        <v>55</v>
      </c>
      <c r="I1" s="66"/>
      <c r="J1" s="66"/>
      <c r="K1" s="21" t="s">
        <v>49</v>
      </c>
      <c r="L1" s="21"/>
      <c r="M1" s="18" t="s">
        <v>50</v>
      </c>
    </row>
    <row r="2" spans="1:13" ht="30" customHeight="1" x14ac:dyDescent="0.25">
      <c r="A2" s="11" t="s">
        <v>0</v>
      </c>
      <c r="B2" s="11" t="s">
        <v>1</v>
      </c>
      <c r="C2" s="14" t="s">
        <v>2</v>
      </c>
      <c r="D2" s="14" t="s">
        <v>3</v>
      </c>
      <c r="E2" s="14" t="s">
        <v>142</v>
      </c>
      <c r="F2" s="14" t="s">
        <v>4</v>
      </c>
      <c r="G2" s="14" t="s">
        <v>11</v>
      </c>
      <c r="H2" s="11" t="s">
        <v>55</v>
      </c>
      <c r="I2" s="14" t="s">
        <v>175</v>
      </c>
      <c r="J2" s="14" t="s">
        <v>176</v>
      </c>
      <c r="K2" s="14" t="s">
        <v>12</v>
      </c>
      <c r="L2" s="14" t="s">
        <v>45</v>
      </c>
      <c r="M2" s="14" t="s">
        <v>26</v>
      </c>
    </row>
    <row r="3" spans="1:13" ht="15" customHeight="1" x14ac:dyDescent="0.25">
      <c r="A3" s="74" t="s">
        <v>180</v>
      </c>
      <c r="B3" s="74" t="s">
        <v>181</v>
      </c>
      <c r="C3" s="74"/>
      <c r="D3" s="74">
        <v>1</v>
      </c>
      <c r="E3" s="74"/>
      <c r="F3" s="74"/>
      <c r="G3" s="74"/>
      <c r="H3" s="74"/>
      <c r="I3" s="58"/>
      <c r="J3" s="58"/>
      <c r="K3" s="64">
        <v>3</v>
      </c>
      <c r="L3" s="64"/>
      <c r="M3" s="76" t="s">
        <v>227</v>
      </c>
    </row>
    <row r="4" spans="1:13" ht="15" customHeight="1" x14ac:dyDescent="0.25">
      <c r="A4" s="51" t="s">
        <v>181</v>
      </c>
      <c r="B4" s="51" t="s">
        <v>182</v>
      </c>
      <c r="C4" s="55"/>
      <c r="D4" s="56">
        <v>1</v>
      </c>
      <c r="E4" s="67"/>
      <c r="F4" s="57"/>
      <c r="G4" s="55"/>
      <c r="H4" s="59"/>
      <c r="I4" s="58"/>
      <c r="J4" s="58"/>
      <c r="K4" s="71">
        <v>4</v>
      </c>
      <c r="L4" s="71"/>
      <c r="M4" s="76" t="s">
        <v>227</v>
      </c>
    </row>
    <row r="5" spans="1:13" x14ac:dyDescent="0.25">
      <c r="A5" s="51" t="s">
        <v>183</v>
      </c>
      <c r="B5" s="51" t="s">
        <v>184</v>
      </c>
      <c r="C5" s="55"/>
      <c r="D5" s="56">
        <v>1</v>
      </c>
      <c r="E5" s="67"/>
      <c r="F5" s="57"/>
      <c r="G5" s="55"/>
      <c r="H5" s="59"/>
      <c r="I5" s="58"/>
      <c r="J5" s="58"/>
      <c r="K5" s="71">
        <v>5</v>
      </c>
      <c r="L5" s="71"/>
      <c r="M5" s="76" t="s">
        <v>227</v>
      </c>
    </row>
    <row r="6" spans="1:13" x14ac:dyDescent="0.25">
      <c r="A6" s="51" t="s">
        <v>184</v>
      </c>
      <c r="B6" s="51" t="s">
        <v>185</v>
      </c>
      <c r="C6" s="55"/>
      <c r="D6" s="56">
        <v>1</v>
      </c>
      <c r="E6" s="67"/>
      <c r="F6" s="57"/>
      <c r="G6" s="55"/>
      <c r="H6" s="59"/>
      <c r="I6" s="58"/>
      <c r="J6" s="58"/>
      <c r="K6" s="71">
        <v>6</v>
      </c>
      <c r="L6" s="71"/>
      <c r="M6" s="76" t="s">
        <v>227</v>
      </c>
    </row>
    <row r="7" spans="1:13" x14ac:dyDescent="0.25">
      <c r="A7" s="51" t="s">
        <v>186</v>
      </c>
      <c r="B7" s="51" t="s">
        <v>187</v>
      </c>
      <c r="C7" s="55"/>
      <c r="D7" s="56">
        <v>1</v>
      </c>
      <c r="E7" s="67"/>
      <c r="F7" s="57"/>
      <c r="G7" s="55"/>
      <c r="H7" s="59"/>
      <c r="I7" s="58"/>
      <c r="J7" s="58"/>
      <c r="K7" s="71">
        <v>7</v>
      </c>
      <c r="L7" s="71"/>
      <c r="M7" s="76" t="s">
        <v>227</v>
      </c>
    </row>
    <row r="8" spans="1:13" x14ac:dyDescent="0.25">
      <c r="A8" s="51" t="s">
        <v>187</v>
      </c>
      <c r="B8" s="51" t="s">
        <v>188</v>
      </c>
      <c r="C8" s="55"/>
      <c r="D8" s="56">
        <v>1</v>
      </c>
      <c r="E8" s="67"/>
      <c r="F8" s="57"/>
      <c r="G8" s="55"/>
      <c r="H8" s="59"/>
      <c r="I8" s="58"/>
      <c r="J8" s="58"/>
      <c r="K8" s="71">
        <v>8</v>
      </c>
      <c r="L8" s="71"/>
      <c r="M8" s="76" t="s">
        <v>227</v>
      </c>
    </row>
    <row r="9" spans="1:13" x14ac:dyDescent="0.25">
      <c r="A9" s="51" t="s">
        <v>186</v>
      </c>
      <c r="B9" s="51" t="s">
        <v>189</v>
      </c>
      <c r="C9" s="55"/>
      <c r="D9" s="56">
        <v>1</v>
      </c>
      <c r="E9" s="67"/>
      <c r="F9" s="57"/>
      <c r="G9" s="55"/>
      <c r="H9" s="59"/>
      <c r="I9" s="58"/>
      <c r="J9" s="58"/>
      <c r="K9" s="71">
        <v>9</v>
      </c>
      <c r="L9" s="71"/>
      <c r="M9" s="76" t="s">
        <v>227</v>
      </c>
    </row>
    <row r="10" spans="1:13" x14ac:dyDescent="0.25">
      <c r="A10" s="51" t="s">
        <v>189</v>
      </c>
      <c r="B10" s="51" t="s">
        <v>190</v>
      </c>
      <c r="C10" s="55"/>
      <c r="D10" s="56">
        <v>1</v>
      </c>
      <c r="E10" s="67"/>
      <c r="F10" s="57"/>
      <c r="G10" s="55"/>
      <c r="H10" s="59"/>
      <c r="I10" s="58"/>
      <c r="J10" s="58"/>
      <c r="K10" s="71">
        <v>10</v>
      </c>
      <c r="L10" s="71"/>
      <c r="M10" s="76" t="s">
        <v>227</v>
      </c>
    </row>
    <row r="11" spans="1:13" x14ac:dyDescent="0.25">
      <c r="A11" s="51" t="s">
        <v>191</v>
      </c>
      <c r="B11" s="51" t="s">
        <v>192</v>
      </c>
      <c r="C11" s="55"/>
      <c r="D11" s="56">
        <v>2</v>
      </c>
      <c r="E11" s="67"/>
      <c r="F11" s="57"/>
      <c r="G11" s="55"/>
      <c r="H11" s="59"/>
      <c r="I11" s="58"/>
      <c r="J11" s="58"/>
      <c r="K11" s="71">
        <v>11</v>
      </c>
      <c r="L11" s="71"/>
      <c r="M11" s="76" t="s">
        <v>227</v>
      </c>
    </row>
    <row r="12" spans="1:13" x14ac:dyDescent="0.25">
      <c r="A12" s="51" t="s">
        <v>193</v>
      </c>
      <c r="B12" s="51" t="s">
        <v>194</v>
      </c>
      <c r="C12" s="55"/>
      <c r="D12" s="56">
        <v>2</v>
      </c>
      <c r="E12" s="67"/>
      <c r="F12" s="57"/>
      <c r="G12" s="55"/>
      <c r="H12" s="59"/>
      <c r="I12" s="58"/>
      <c r="J12" s="58"/>
      <c r="K12" s="71">
        <v>12</v>
      </c>
      <c r="L12" s="71"/>
      <c r="M12" s="76" t="s">
        <v>227</v>
      </c>
    </row>
    <row r="13" spans="1:13" x14ac:dyDescent="0.25">
      <c r="A13" s="51" t="s">
        <v>195</v>
      </c>
      <c r="B13" s="51" t="s">
        <v>196</v>
      </c>
      <c r="C13" s="55"/>
      <c r="D13" s="56">
        <v>2</v>
      </c>
      <c r="E13" s="67"/>
      <c r="F13" s="57"/>
      <c r="G13" s="55"/>
      <c r="H13" s="59"/>
      <c r="I13" s="58"/>
      <c r="J13" s="58"/>
      <c r="K13" s="71">
        <v>13</v>
      </c>
      <c r="L13" s="71"/>
      <c r="M13" s="76" t="s">
        <v>227</v>
      </c>
    </row>
    <row r="14" spans="1:13" x14ac:dyDescent="0.25">
      <c r="A14" s="51" t="s">
        <v>197</v>
      </c>
      <c r="B14" s="51" t="s">
        <v>182</v>
      </c>
      <c r="C14" s="55"/>
      <c r="D14" s="56">
        <v>2</v>
      </c>
      <c r="E14" s="67"/>
      <c r="F14" s="57"/>
      <c r="G14" s="55"/>
      <c r="H14" s="59"/>
      <c r="I14" s="58"/>
      <c r="J14" s="58"/>
      <c r="K14" s="71">
        <v>14</v>
      </c>
      <c r="L14" s="71"/>
      <c r="M14" s="76" t="s">
        <v>227</v>
      </c>
    </row>
    <row r="15" spans="1:13" x14ac:dyDescent="0.25">
      <c r="A15" s="51" t="s">
        <v>198</v>
      </c>
      <c r="B15" s="51" t="s">
        <v>199</v>
      </c>
      <c r="C15" s="55"/>
      <c r="D15" s="56">
        <v>1</v>
      </c>
      <c r="E15" s="67"/>
      <c r="F15" s="57"/>
      <c r="G15" s="55"/>
      <c r="H15" s="59"/>
      <c r="I15" s="58"/>
      <c r="J15" s="58"/>
      <c r="K15" s="71">
        <v>15</v>
      </c>
      <c r="L15" s="71"/>
      <c r="M15" s="76" t="s">
        <v>227</v>
      </c>
    </row>
    <row r="16" spans="1:13" x14ac:dyDescent="0.25">
      <c r="A16" s="51" t="s">
        <v>199</v>
      </c>
      <c r="B16" s="51" t="s">
        <v>200</v>
      </c>
      <c r="C16" s="55"/>
      <c r="D16" s="56">
        <v>1</v>
      </c>
      <c r="E16" s="67"/>
      <c r="F16" s="57"/>
      <c r="G16" s="55"/>
      <c r="H16" s="59"/>
      <c r="I16" s="58"/>
      <c r="J16" s="58"/>
      <c r="K16" s="71">
        <v>16</v>
      </c>
      <c r="L16" s="71"/>
      <c r="M16" s="76" t="s">
        <v>227</v>
      </c>
    </row>
    <row r="17" spans="1:13" x14ac:dyDescent="0.25">
      <c r="A17" s="51" t="s">
        <v>201</v>
      </c>
      <c r="B17" s="51" t="s">
        <v>202</v>
      </c>
      <c r="C17" s="55"/>
      <c r="D17" s="56">
        <v>1</v>
      </c>
      <c r="E17" s="67"/>
      <c r="F17" s="57"/>
      <c r="G17" s="55"/>
      <c r="H17" s="59"/>
      <c r="I17" s="58"/>
      <c r="J17" s="58"/>
      <c r="K17" s="71">
        <v>17</v>
      </c>
      <c r="L17" s="71"/>
      <c r="M17" s="76" t="s">
        <v>227</v>
      </c>
    </row>
    <row r="18" spans="1:13" x14ac:dyDescent="0.25">
      <c r="A18" s="51" t="s">
        <v>202</v>
      </c>
      <c r="B18" s="51" t="s">
        <v>203</v>
      </c>
      <c r="C18" s="55"/>
      <c r="D18" s="56">
        <v>1</v>
      </c>
      <c r="E18" s="67"/>
      <c r="F18" s="57"/>
      <c r="G18" s="55"/>
      <c r="H18" s="59"/>
      <c r="I18" s="58"/>
      <c r="J18" s="58"/>
      <c r="K18" s="71">
        <v>18</v>
      </c>
      <c r="L18" s="71"/>
      <c r="M18" s="76" t="s">
        <v>227</v>
      </c>
    </row>
    <row r="19" spans="1:13" x14ac:dyDescent="0.25">
      <c r="A19" s="51" t="s">
        <v>204</v>
      </c>
      <c r="B19" s="51" t="s">
        <v>205</v>
      </c>
      <c r="C19" s="55"/>
      <c r="D19" s="56">
        <v>1</v>
      </c>
      <c r="E19" s="67"/>
      <c r="F19" s="57"/>
      <c r="G19" s="55"/>
      <c r="H19" s="59"/>
      <c r="I19" s="58"/>
      <c r="J19" s="58"/>
      <c r="K19" s="71">
        <v>19</v>
      </c>
      <c r="L19" s="71"/>
      <c r="M19" s="76" t="s">
        <v>227</v>
      </c>
    </row>
    <row r="20" spans="1:13" x14ac:dyDescent="0.25">
      <c r="A20" s="51" t="s">
        <v>205</v>
      </c>
      <c r="B20" s="51" t="s">
        <v>206</v>
      </c>
      <c r="C20" s="55"/>
      <c r="D20" s="56">
        <v>1</v>
      </c>
      <c r="E20" s="67"/>
      <c r="F20" s="57"/>
      <c r="G20" s="55"/>
      <c r="H20" s="59"/>
      <c r="I20" s="58"/>
      <c r="J20" s="58"/>
      <c r="K20" s="71">
        <v>20</v>
      </c>
      <c r="L20" s="71"/>
      <c r="M20" s="76" t="s">
        <v>227</v>
      </c>
    </row>
    <row r="21" spans="1:13" x14ac:dyDescent="0.25">
      <c r="A21" s="51" t="s">
        <v>207</v>
      </c>
      <c r="B21" s="51" t="s">
        <v>208</v>
      </c>
      <c r="C21" s="55"/>
      <c r="D21" s="56">
        <v>1</v>
      </c>
      <c r="E21" s="67"/>
      <c r="F21" s="57"/>
      <c r="G21" s="55"/>
      <c r="H21" s="59"/>
      <c r="I21" s="58"/>
      <c r="J21" s="58"/>
      <c r="K21" s="71">
        <v>21</v>
      </c>
      <c r="L21" s="71"/>
      <c r="M21" s="76" t="s">
        <v>227</v>
      </c>
    </row>
    <row r="22" spans="1:13" x14ac:dyDescent="0.25">
      <c r="A22" s="51" t="s">
        <v>208</v>
      </c>
      <c r="B22" s="51" t="s">
        <v>209</v>
      </c>
      <c r="C22" s="55"/>
      <c r="D22" s="56">
        <v>1</v>
      </c>
      <c r="E22" s="67"/>
      <c r="F22" s="57"/>
      <c r="G22" s="55"/>
      <c r="H22" s="59"/>
      <c r="I22" s="58"/>
      <c r="J22" s="58"/>
      <c r="K22" s="71">
        <v>22</v>
      </c>
      <c r="L22" s="71"/>
      <c r="M22" s="76" t="s">
        <v>227</v>
      </c>
    </row>
    <row r="23" spans="1:13" x14ac:dyDescent="0.25">
      <c r="A23" s="51" t="s">
        <v>210</v>
      </c>
      <c r="B23" s="51" t="s">
        <v>211</v>
      </c>
      <c r="C23" s="55"/>
      <c r="D23" s="56">
        <v>1</v>
      </c>
      <c r="E23" s="67"/>
      <c r="F23" s="57"/>
      <c r="G23" s="55"/>
      <c r="H23" s="59"/>
      <c r="I23" s="58"/>
      <c r="J23" s="58"/>
      <c r="K23" s="71">
        <v>23</v>
      </c>
      <c r="L23" s="71"/>
      <c r="M23" s="76" t="s">
        <v>227</v>
      </c>
    </row>
    <row r="24" spans="1:13" x14ac:dyDescent="0.25">
      <c r="A24" s="51" t="s">
        <v>211</v>
      </c>
      <c r="B24" s="51" t="s">
        <v>212</v>
      </c>
      <c r="C24" s="55"/>
      <c r="D24" s="56">
        <v>1</v>
      </c>
      <c r="E24" s="67"/>
      <c r="F24" s="57"/>
      <c r="G24" s="55"/>
      <c r="H24" s="59"/>
      <c r="I24" s="58"/>
      <c r="J24" s="58"/>
      <c r="K24" s="71">
        <v>24</v>
      </c>
      <c r="L24" s="71"/>
      <c r="M24" s="76" t="s">
        <v>227</v>
      </c>
    </row>
    <row r="25" spans="1:13" x14ac:dyDescent="0.25">
      <c r="A25" s="51" t="s">
        <v>213</v>
      </c>
      <c r="B25" s="51" t="s">
        <v>214</v>
      </c>
      <c r="C25" s="55"/>
      <c r="D25" s="56">
        <v>1</v>
      </c>
      <c r="E25" s="67"/>
      <c r="F25" s="57"/>
      <c r="G25" s="55"/>
      <c r="H25" s="59"/>
      <c r="I25" s="58"/>
      <c r="J25" s="58"/>
      <c r="K25" s="71">
        <v>25</v>
      </c>
      <c r="L25" s="71"/>
      <c r="M25" s="76" t="s">
        <v>227</v>
      </c>
    </row>
    <row r="26" spans="1:13" x14ac:dyDescent="0.25">
      <c r="A26" s="51" t="s">
        <v>214</v>
      </c>
      <c r="B26" s="51" t="s">
        <v>192</v>
      </c>
      <c r="C26" s="55"/>
      <c r="D26" s="56">
        <v>1</v>
      </c>
      <c r="E26" s="67"/>
      <c r="F26" s="57"/>
      <c r="G26" s="55"/>
      <c r="H26" s="59"/>
      <c r="I26" s="58"/>
      <c r="J26" s="58"/>
      <c r="K26" s="71">
        <v>26</v>
      </c>
      <c r="L26" s="71"/>
      <c r="M26" s="76" t="s">
        <v>227</v>
      </c>
    </row>
    <row r="27" spans="1:13" x14ac:dyDescent="0.25">
      <c r="A27" s="51" t="s">
        <v>215</v>
      </c>
      <c r="B27" s="51" t="s">
        <v>216</v>
      </c>
      <c r="C27" s="55"/>
      <c r="D27" s="56">
        <v>1</v>
      </c>
      <c r="E27" s="67"/>
      <c r="F27" s="57"/>
      <c r="G27" s="55"/>
      <c r="H27" s="59"/>
      <c r="I27" s="58"/>
      <c r="J27" s="58"/>
      <c r="K27" s="71">
        <v>27</v>
      </c>
      <c r="L27" s="71"/>
      <c r="M27" s="76" t="s">
        <v>227</v>
      </c>
    </row>
    <row r="28" spans="1:13" x14ac:dyDescent="0.25">
      <c r="A28" s="51" t="s">
        <v>216</v>
      </c>
      <c r="B28" s="51" t="s">
        <v>194</v>
      </c>
      <c r="C28" s="55"/>
      <c r="D28" s="56">
        <v>1</v>
      </c>
      <c r="E28" s="67"/>
      <c r="F28" s="57"/>
      <c r="G28" s="55"/>
      <c r="H28" s="59"/>
      <c r="I28" s="58"/>
      <c r="J28" s="58"/>
      <c r="K28" s="71">
        <v>28</v>
      </c>
      <c r="L28" s="71"/>
      <c r="M28" s="76" t="s">
        <v>227</v>
      </c>
    </row>
    <row r="29" spans="1:13" x14ac:dyDescent="0.25">
      <c r="A29" s="51" t="s">
        <v>217</v>
      </c>
      <c r="B29" s="51" t="s">
        <v>218</v>
      </c>
      <c r="C29" s="55"/>
      <c r="D29" s="56">
        <v>1</v>
      </c>
      <c r="E29" s="67"/>
      <c r="F29" s="57"/>
      <c r="G29" s="55"/>
      <c r="H29" s="59"/>
      <c r="I29" s="58"/>
      <c r="J29" s="58"/>
      <c r="K29" s="71">
        <v>29</v>
      </c>
      <c r="L29" s="71"/>
      <c r="M29" s="76" t="s">
        <v>227</v>
      </c>
    </row>
    <row r="30" spans="1:13" x14ac:dyDescent="0.25">
      <c r="A30" s="51" t="s">
        <v>218</v>
      </c>
      <c r="B30" s="51" t="s">
        <v>196</v>
      </c>
      <c r="C30" s="55"/>
      <c r="D30" s="56">
        <v>1</v>
      </c>
      <c r="E30" s="67"/>
      <c r="F30" s="57"/>
      <c r="G30" s="55"/>
      <c r="H30" s="59"/>
      <c r="I30" s="58"/>
      <c r="J30" s="58"/>
      <c r="K30" s="71">
        <v>30</v>
      </c>
      <c r="L30" s="71"/>
      <c r="M30" s="76" t="s">
        <v>227</v>
      </c>
    </row>
    <row r="31" spans="1:13" x14ac:dyDescent="0.25">
      <c r="A31" s="51" t="s">
        <v>219</v>
      </c>
      <c r="B31" s="51" t="s">
        <v>220</v>
      </c>
      <c r="C31" s="55"/>
      <c r="D31" s="56">
        <v>1</v>
      </c>
      <c r="E31" s="67" t="s">
        <v>146</v>
      </c>
      <c r="F31" s="57"/>
      <c r="G31" s="55"/>
      <c r="H31" s="59"/>
      <c r="I31" s="58"/>
      <c r="J31" s="58"/>
      <c r="K31" s="71">
        <v>31</v>
      </c>
      <c r="L31" s="71"/>
      <c r="M31" s="76" t="s">
        <v>227</v>
      </c>
    </row>
    <row r="32" spans="1:13" x14ac:dyDescent="0.25">
      <c r="A32" s="51" t="s">
        <v>221</v>
      </c>
      <c r="B32" s="51" t="s">
        <v>219</v>
      </c>
      <c r="C32" s="55"/>
      <c r="D32" s="56">
        <v>1</v>
      </c>
      <c r="E32" s="67" t="s">
        <v>146</v>
      </c>
      <c r="F32" s="57"/>
      <c r="G32" s="55"/>
      <c r="H32" s="59"/>
      <c r="I32" s="58"/>
      <c r="J32" s="58"/>
      <c r="K32" s="71">
        <v>32</v>
      </c>
      <c r="L32" s="71"/>
      <c r="M32" s="76" t="s">
        <v>227</v>
      </c>
    </row>
    <row r="33" spans="1:13" x14ac:dyDescent="0.25">
      <c r="A33" s="51" t="s">
        <v>220</v>
      </c>
      <c r="B33" s="51" t="s">
        <v>198</v>
      </c>
      <c r="C33" s="55"/>
      <c r="D33" s="56">
        <v>1</v>
      </c>
      <c r="E33" s="67" t="s">
        <v>146</v>
      </c>
      <c r="F33" s="57"/>
      <c r="G33" s="55"/>
      <c r="H33" s="59"/>
      <c r="I33" s="58"/>
      <c r="J33" s="58"/>
      <c r="K33" s="71">
        <v>33</v>
      </c>
      <c r="L33" s="71"/>
      <c r="M33" s="76" t="s">
        <v>227</v>
      </c>
    </row>
    <row r="34" spans="1:13" x14ac:dyDescent="0.25">
      <c r="A34" s="51" t="s">
        <v>203</v>
      </c>
      <c r="B34" s="51" t="s">
        <v>204</v>
      </c>
      <c r="C34" s="55"/>
      <c r="D34" s="56">
        <v>1</v>
      </c>
      <c r="E34" s="67" t="s">
        <v>146</v>
      </c>
      <c r="F34" s="57"/>
      <c r="G34" s="55"/>
      <c r="H34" s="59"/>
      <c r="I34" s="58"/>
      <c r="J34" s="58"/>
      <c r="K34" s="71">
        <v>34</v>
      </c>
      <c r="L34" s="71"/>
      <c r="M34" s="76" t="s">
        <v>227</v>
      </c>
    </row>
    <row r="35" spans="1:13" x14ac:dyDescent="0.25">
      <c r="A35" s="51" t="s">
        <v>212</v>
      </c>
      <c r="B35" s="51" t="s">
        <v>207</v>
      </c>
      <c r="C35" s="55"/>
      <c r="D35" s="56">
        <v>1</v>
      </c>
      <c r="E35" s="67" t="s">
        <v>146</v>
      </c>
      <c r="F35" s="57"/>
      <c r="G35" s="55"/>
      <c r="H35" s="59"/>
      <c r="I35" s="58"/>
      <c r="J35" s="58"/>
      <c r="K35" s="71">
        <v>35</v>
      </c>
      <c r="L35" s="71"/>
      <c r="M35" s="76" t="s">
        <v>227</v>
      </c>
    </row>
    <row r="36" spans="1:13" x14ac:dyDescent="0.25">
      <c r="A36" s="51" t="s">
        <v>188</v>
      </c>
      <c r="B36" s="51" t="s">
        <v>213</v>
      </c>
      <c r="C36" s="55"/>
      <c r="D36" s="56">
        <v>1</v>
      </c>
      <c r="E36" s="67" t="s">
        <v>146</v>
      </c>
      <c r="F36" s="57"/>
      <c r="G36" s="55"/>
      <c r="H36" s="59"/>
      <c r="I36" s="58"/>
      <c r="J36" s="58"/>
      <c r="K36" s="71">
        <v>36</v>
      </c>
      <c r="L36" s="71"/>
      <c r="M36" s="76" t="s">
        <v>227</v>
      </c>
    </row>
    <row r="37" spans="1:13" x14ac:dyDescent="0.25">
      <c r="A37" s="51" t="s">
        <v>190</v>
      </c>
      <c r="B37" s="51" t="s">
        <v>215</v>
      </c>
      <c r="C37" s="55"/>
      <c r="D37" s="56">
        <v>1</v>
      </c>
      <c r="E37" s="67" t="s">
        <v>146</v>
      </c>
      <c r="F37" s="57"/>
      <c r="G37" s="55"/>
      <c r="H37" s="59"/>
      <c r="I37" s="58"/>
      <c r="J37" s="58"/>
      <c r="K37" s="71">
        <v>37</v>
      </c>
      <c r="L37" s="71"/>
      <c r="M37" s="76" t="s">
        <v>227</v>
      </c>
    </row>
    <row r="38" spans="1:13" x14ac:dyDescent="0.25">
      <c r="A38" s="51" t="s">
        <v>185</v>
      </c>
      <c r="B38" s="51" t="s">
        <v>217</v>
      </c>
      <c r="C38" s="55"/>
      <c r="D38" s="56">
        <v>1</v>
      </c>
      <c r="E38" s="67" t="s">
        <v>146</v>
      </c>
      <c r="F38" s="57"/>
      <c r="G38" s="55"/>
      <c r="H38" s="59"/>
      <c r="I38" s="58"/>
      <c r="J38" s="58"/>
      <c r="K38" s="71">
        <v>38</v>
      </c>
      <c r="L38" s="71"/>
      <c r="M38" s="76" t="s">
        <v>227</v>
      </c>
    </row>
    <row r="39" spans="1:13" x14ac:dyDescent="0.25">
      <c r="A39" s="51" t="s">
        <v>222</v>
      </c>
      <c r="B39" s="51" t="s">
        <v>221</v>
      </c>
      <c r="C39" s="55"/>
      <c r="D39" s="56">
        <v>1</v>
      </c>
      <c r="E39" s="67" t="s">
        <v>146</v>
      </c>
      <c r="F39" s="57"/>
      <c r="G39" s="55"/>
      <c r="H39" s="59"/>
      <c r="I39" s="58"/>
      <c r="J39" s="58"/>
      <c r="K39" s="71">
        <v>39</v>
      </c>
      <c r="L39" s="71"/>
      <c r="M39" s="76" t="s">
        <v>227</v>
      </c>
    </row>
    <row r="40" spans="1:13" x14ac:dyDescent="0.25">
      <c r="A40" s="51" t="s">
        <v>223</v>
      </c>
      <c r="B40" s="51" t="s">
        <v>222</v>
      </c>
      <c r="C40" s="55"/>
      <c r="D40" s="56">
        <v>1</v>
      </c>
      <c r="E40" s="67" t="s">
        <v>146</v>
      </c>
      <c r="F40" s="57"/>
      <c r="G40" s="55"/>
      <c r="H40" s="59"/>
      <c r="I40" s="58"/>
      <c r="J40" s="58"/>
      <c r="K40" s="71">
        <v>40</v>
      </c>
      <c r="L40" s="71"/>
      <c r="M40" s="76" t="s">
        <v>227</v>
      </c>
    </row>
    <row r="41" spans="1:13" x14ac:dyDescent="0.25">
      <c r="A41" s="51" t="s">
        <v>224</v>
      </c>
      <c r="B41" s="51" t="s">
        <v>223</v>
      </c>
      <c r="C41" s="55"/>
      <c r="D41" s="56">
        <v>1</v>
      </c>
      <c r="E41" s="67" t="s">
        <v>146</v>
      </c>
      <c r="F41" s="57"/>
      <c r="G41" s="55"/>
      <c r="H41" s="59"/>
      <c r="I41" s="58"/>
      <c r="J41" s="58"/>
      <c r="K41" s="71">
        <v>41</v>
      </c>
      <c r="L41" s="71"/>
      <c r="M41" s="76" t="s">
        <v>227</v>
      </c>
    </row>
    <row r="42" spans="1:13" x14ac:dyDescent="0.25">
      <c r="A42" s="51" t="s">
        <v>222</v>
      </c>
      <c r="B42" s="51" t="s">
        <v>225</v>
      </c>
      <c r="C42" s="55"/>
      <c r="D42" s="56">
        <v>1</v>
      </c>
      <c r="E42" s="67" t="s">
        <v>146</v>
      </c>
      <c r="F42" s="57"/>
      <c r="G42" s="55"/>
      <c r="H42" s="59"/>
      <c r="I42" s="58"/>
      <c r="J42" s="58"/>
      <c r="K42" s="71">
        <v>42</v>
      </c>
      <c r="L42" s="71"/>
      <c r="M42" s="76" t="s">
        <v>227</v>
      </c>
    </row>
    <row r="43" spans="1:13" x14ac:dyDescent="0.25">
      <c r="A43" s="51" t="s">
        <v>183</v>
      </c>
      <c r="B43" s="51" t="s">
        <v>201</v>
      </c>
      <c r="C43" s="55"/>
      <c r="D43" s="56">
        <v>1</v>
      </c>
      <c r="E43" s="67" t="s">
        <v>146</v>
      </c>
      <c r="F43" s="57"/>
      <c r="G43" s="55"/>
      <c r="H43" s="59"/>
      <c r="I43" s="58"/>
      <c r="J43" s="58"/>
      <c r="K43" s="71">
        <v>43</v>
      </c>
      <c r="L43" s="71"/>
      <c r="M43" s="76" t="s">
        <v>227</v>
      </c>
    </row>
    <row r="44" spans="1:13" x14ac:dyDescent="0.25">
      <c r="A44" s="51" t="s">
        <v>209</v>
      </c>
      <c r="B44" s="51" t="s">
        <v>183</v>
      </c>
      <c r="C44" s="55"/>
      <c r="D44" s="56">
        <v>1</v>
      </c>
      <c r="E44" s="67" t="s">
        <v>146</v>
      </c>
      <c r="F44" s="57"/>
      <c r="G44" s="55"/>
      <c r="H44" s="59"/>
      <c r="I44" s="58"/>
      <c r="J44" s="58"/>
      <c r="K44" s="71">
        <v>44</v>
      </c>
      <c r="L44" s="71"/>
      <c r="M44" s="76" t="s">
        <v>227</v>
      </c>
    </row>
    <row r="45" spans="1:13" x14ac:dyDescent="0.25">
      <c r="A45" s="51" t="s">
        <v>200</v>
      </c>
      <c r="B45" s="51" t="s">
        <v>186</v>
      </c>
      <c r="C45" s="55"/>
      <c r="D45" s="56">
        <v>1</v>
      </c>
      <c r="E45" s="67" t="s">
        <v>146</v>
      </c>
      <c r="F45" s="57"/>
      <c r="G45" s="55"/>
      <c r="H45" s="59"/>
      <c r="I45" s="58"/>
      <c r="J45" s="58"/>
      <c r="K45" s="71">
        <v>45</v>
      </c>
      <c r="L45" s="71"/>
      <c r="M45" s="76" t="s">
        <v>227</v>
      </c>
    </row>
    <row r="46" spans="1:13" x14ac:dyDescent="0.25">
      <c r="A46" s="51" t="s">
        <v>186</v>
      </c>
      <c r="B46" s="51" t="s">
        <v>210</v>
      </c>
      <c r="C46" s="55"/>
      <c r="D46" s="56">
        <v>1</v>
      </c>
      <c r="E46" s="67" t="s">
        <v>146</v>
      </c>
      <c r="F46" s="57"/>
      <c r="G46" s="55"/>
      <c r="H46" s="59"/>
      <c r="I46" s="58"/>
      <c r="J46" s="58"/>
      <c r="K46" s="71">
        <v>46</v>
      </c>
      <c r="L46" s="71"/>
      <c r="M46" s="76" t="s">
        <v>227</v>
      </c>
    </row>
    <row r="47" spans="1:13" x14ac:dyDescent="0.25">
      <c r="A47" s="51" t="s">
        <v>197</v>
      </c>
      <c r="B47" s="51" t="s">
        <v>226</v>
      </c>
      <c r="C47" s="55"/>
      <c r="D47" s="56">
        <v>1</v>
      </c>
      <c r="E47" s="67" t="s">
        <v>146</v>
      </c>
      <c r="F47" s="57"/>
      <c r="G47" s="55"/>
      <c r="H47" s="59"/>
      <c r="I47" s="58"/>
      <c r="J47" s="58"/>
      <c r="K47" s="71">
        <v>47</v>
      </c>
      <c r="L47" s="71"/>
      <c r="M47" s="76" t="s">
        <v>227</v>
      </c>
    </row>
    <row r="48" spans="1:13" x14ac:dyDescent="0.25">
      <c r="A48" s="51" t="s">
        <v>226</v>
      </c>
      <c r="B48" s="51" t="s">
        <v>224</v>
      </c>
      <c r="C48" s="55"/>
      <c r="D48" s="56">
        <v>1</v>
      </c>
      <c r="E48" s="67" t="s">
        <v>146</v>
      </c>
      <c r="F48" s="57"/>
      <c r="G48" s="55"/>
      <c r="H48" s="59"/>
      <c r="I48" s="58"/>
      <c r="J48" s="58"/>
      <c r="K48" s="71">
        <v>48</v>
      </c>
      <c r="L48" s="71"/>
      <c r="M48" s="76" t="s">
        <v>227</v>
      </c>
    </row>
  </sheetData>
  <dataConsolidate/>
  <dataValidations count="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K3:K48"/>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48"/>
    <dataValidation allowBlank="1" showErrorMessage="1" sqref="M2:M48"/>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48"/>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48"/>
    <dataValidation allowBlank="1" showInputMessage="1" promptTitle="Edge Color" prompt="To select an optional edge color, right-click and select Select Color on the right-click menu." sqref="C3:C48"/>
    <dataValidation allowBlank="1" showInputMessage="1" errorTitle="Invalid Edge Width" error="The optional edge width must be a whole number between 1 and 10." promptTitle="Edge Width" prompt="Enter an optional edge width between 1 and 10." sqref="D3:D48"/>
    <dataValidation allowBlank="1" showInputMessage="1" errorTitle="Invalid Edge Opacity" error="The optional edge opacity must be a whole number between 0 and 10." promptTitle="Edge Opacity" prompt="Enter an optional edge opacity between 0 (transparent) and 100 (opaque)." sqref="F3:F48"/>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G48">
      <formula1>ValidEdgeVisibilities</formula1>
    </dataValidation>
    <dataValidation allowBlank="1" showInputMessage="1" showErrorMessage="1" promptTitle="Vertex 1 Name" prompt="Enter the name of the edge's first vertex." sqref="A3:A48"/>
    <dataValidation allowBlank="1" showInputMessage="1" showErrorMessage="1" promptTitle="Vertex 2 Name" prompt="Enter the name of the edge's second vertex." sqref="B3:B48"/>
    <dataValidation allowBlank="1" showInputMessage="1" showErrorMessage="1" errorTitle="Invalid Edge Visibility" error="You have entered an unrecognized edge visibility.  Try selecting from the drop-down list instead." promptTitle="Edge Label" prompt="Enter an optional edge label." sqref="H3:H48"/>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E48">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49"/>
  <sheetViews>
    <sheetView tabSelected="1" workbookViewId="0">
      <pane xSplit="1" ySplit="2" topLeftCell="B3" activePane="bottomRight" state="frozen"/>
      <selection pane="topRight" activeCell="B1" sqref="B1"/>
      <selection pane="bottomLeft" activeCell="A3" sqref="A3"/>
      <selection pane="bottomRight" activeCell="AB3" sqref="AB3:AB49"/>
    </sheetView>
  </sheetViews>
  <sheetFormatPr defaultRowHeight="15" x14ac:dyDescent="0.2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x14ac:dyDescent="0.25">
      <c r="B1" s="25" t="s">
        <v>51</v>
      </c>
      <c r="C1" s="22"/>
      <c r="D1" s="23"/>
      <c r="E1" s="24"/>
      <c r="F1" s="22"/>
      <c r="G1" s="22"/>
      <c r="H1" s="22"/>
      <c r="I1" s="22"/>
      <c r="J1" s="26" t="s">
        <v>48</v>
      </c>
      <c r="K1" s="19"/>
      <c r="L1" s="19"/>
      <c r="M1" s="19"/>
      <c r="N1" s="19"/>
      <c r="O1" s="19"/>
      <c r="P1" s="28" t="s">
        <v>52</v>
      </c>
      <c r="Q1" s="27"/>
      <c r="R1" s="27"/>
      <c r="S1" s="27"/>
      <c r="T1" s="30" t="s">
        <v>53</v>
      </c>
      <c r="U1" s="29"/>
      <c r="V1" s="29"/>
      <c r="W1" s="29"/>
      <c r="X1" s="29"/>
      <c r="Y1" s="29"/>
      <c r="Z1" s="31" t="s">
        <v>49</v>
      </c>
      <c r="AA1" s="21"/>
      <c r="AB1" s="32" t="s">
        <v>50</v>
      </c>
    </row>
    <row r="2" spans="1:30" ht="30" customHeight="1" x14ac:dyDescent="0.25">
      <c r="A2" s="11" t="s">
        <v>5</v>
      </c>
      <c r="B2" s="14" t="s">
        <v>33</v>
      </c>
      <c r="C2" s="14" t="s">
        <v>34</v>
      </c>
      <c r="D2" s="14" t="s">
        <v>35</v>
      </c>
      <c r="E2" s="14" t="s">
        <v>36</v>
      </c>
      <c r="F2" s="14" t="s">
        <v>37</v>
      </c>
      <c r="G2" s="14" t="s">
        <v>38</v>
      </c>
      <c r="H2" s="14" t="s">
        <v>149</v>
      </c>
      <c r="I2" s="14" t="s">
        <v>39</v>
      </c>
      <c r="J2" s="8" t="s">
        <v>2</v>
      </c>
      <c r="K2" s="8" t="s">
        <v>8</v>
      </c>
      <c r="L2" s="9" t="s">
        <v>54</v>
      </c>
      <c r="M2" s="10" t="s">
        <v>4</v>
      </c>
      <c r="N2" s="8" t="s">
        <v>57</v>
      </c>
      <c r="O2" s="8" t="s">
        <v>11</v>
      </c>
      <c r="P2" s="8" t="s">
        <v>55</v>
      </c>
      <c r="Q2" s="8" t="s">
        <v>56</v>
      </c>
      <c r="R2" s="8" t="s">
        <v>86</v>
      </c>
      <c r="S2" s="8" t="s">
        <v>10</v>
      </c>
      <c r="T2" s="8" t="s">
        <v>27</v>
      </c>
      <c r="U2" s="8" t="s">
        <v>15</v>
      </c>
      <c r="V2" s="8" t="s">
        <v>16</v>
      </c>
      <c r="W2" s="8" t="s">
        <v>13</v>
      </c>
      <c r="X2" s="8" t="s">
        <v>28</v>
      </c>
      <c r="Y2" s="8" t="s">
        <v>29</v>
      </c>
      <c r="Z2" s="11" t="s">
        <v>12</v>
      </c>
      <c r="AA2" s="11" t="s">
        <v>45</v>
      </c>
      <c r="AB2" s="8" t="s">
        <v>26</v>
      </c>
      <c r="AC2" s="3"/>
      <c r="AD2" s="3"/>
    </row>
    <row r="3" spans="1:30" ht="15" customHeight="1" x14ac:dyDescent="0.25">
      <c r="A3" s="77" t="s">
        <v>181</v>
      </c>
      <c r="B3" s="52"/>
      <c r="C3" s="52"/>
      <c r="D3" s="52"/>
      <c r="E3" s="52"/>
      <c r="F3" s="53"/>
      <c r="G3" s="53"/>
      <c r="H3" s="54"/>
      <c r="I3" s="53"/>
      <c r="J3" s="78" t="s">
        <v>228</v>
      </c>
      <c r="K3" s="78" t="s">
        <v>229</v>
      </c>
      <c r="L3" s="78">
        <v>2</v>
      </c>
      <c r="M3" s="78">
        <v>100</v>
      </c>
      <c r="N3" s="78" t="s">
        <v>230</v>
      </c>
      <c r="O3" s="78"/>
      <c r="P3" s="78" t="s">
        <v>181</v>
      </c>
      <c r="Q3" s="58"/>
      <c r="R3" s="58"/>
      <c r="S3" s="59"/>
      <c r="T3" s="61"/>
      <c r="U3" s="62">
        <v>9482.724609375</v>
      </c>
      <c r="V3" s="62">
        <v>9612.6474609375</v>
      </c>
      <c r="W3" s="60"/>
      <c r="X3" s="63"/>
      <c r="Y3" s="63"/>
      <c r="Z3" s="64">
        <v>3</v>
      </c>
      <c r="AA3" s="64"/>
      <c r="AB3" s="79" t="s">
        <v>227</v>
      </c>
      <c r="AC3" s="3"/>
      <c r="AD3" s="3"/>
    </row>
    <row r="4" spans="1:30" x14ac:dyDescent="0.25">
      <c r="A4" s="15" t="s">
        <v>184</v>
      </c>
      <c r="B4" s="52"/>
      <c r="C4" s="52"/>
      <c r="D4" s="52"/>
      <c r="E4" s="52"/>
      <c r="F4" s="53"/>
      <c r="G4" s="53"/>
      <c r="H4" s="54"/>
      <c r="I4" s="53"/>
      <c r="J4" s="78" t="s">
        <v>228</v>
      </c>
      <c r="K4" s="78" t="s">
        <v>229</v>
      </c>
      <c r="L4" s="78">
        <v>3</v>
      </c>
      <c r="M4" s="78">
        <v>100</v>
      </c>
      <c r="N4" s="78" t="s">
        <v>231</v>
      </c>
      <c r="O4" s="78"/>
      <c r="P4" s="78" t="s">
        <v>184</v>
      </c>
      <c r="Q4" s="73"/>
      <c r="R4" s="73"/>
      <c r="S4" s="17"/>
      <c r="T4" s="75"/>
      <c r="U4" s="72">
        <v>3699.092529296875</v>
      </c>
      <c r="V4" s="72">
        <v>2048.84033203125</v>
      </c>
      <c r="W4" s="69"/>
      <c r="X4" s="70"/>
      <c r="Y4" s="70"/>
      <c r="Z4" s="68">
        <v>4</v>
      </c>
      <c r="AA4" s="68"/>
      <c r="AB4" s="79" t="s">
        <v>227</v>
      </c>
    </row>
    <row r="5" spans="1:30" x14ac:dyDescent="0.25">
      <c r="A5" s="15" t="s">
        <v>187</v>
      </c>
      <c r="B5" s="52"/>
      <c r="C5" s="52"/>
      <c r="D5" s="52"/>
      <c r="E5" s="52"/>
      <c r="F5" s="53"/>
      <c r="G5" s="53"/>
      <c r="H5" s="54"/>
      <c r="I5" s="53"/>
      <c r="J5" s="78" t="s">
        <v>228</v>
      </c>
      <c r="K5" s="78" t="s">
        <v>229</v>
      </c>
      <c r="L5" s="78">
        <v>3</v>
      </c>
      <c r="M5" s="78">
        <v>100</v>
      </c>
      <c r="N5" s="78" t="s">
        <v>231</v>
      </c>
      <c r="O5" s="78"/>
      <c r="P5" s="78" t="s">
        <v>187</v>
      </c>
      <c r="Q5" s="73"/>
      <c r="R5" s="73"/>
      <c r="S5" s="17"/>
      <c r="T5" s="75"/>
      <c r="U5" s="72">
        <v>5681.68408203125</v>
      </c>
      <c r="V5" s="72">
        <v>5088.74462890625</v>
      </c>
      <c r="W5" s="69"/>
      <c r="X5" s="70"/>
      <c r="Y5" s="70"/>
      <c r="Z5" s="68">
        <v>5</v>
      </c>
      <c r="AA5" s="68"/>
      <c r="AB5" s="79" t="s">
        <v>227</v>
      </c>
    </row>
    <row r="6" spans="1:30" x14ac:dyDescent="0.25">
      <c r="A6" s="15" t="s">
        <v>189</v>
      </c>
      <c r="B6" s="52"/>
      <c r="C6" s="52"/>
      <c r="D6" s="52"/>
      <c r="E6" s="52"/>
      <c r="F6" s="53"/>
      <c r="G6" s="53"/>
      <c r="H6" s="54"/>
      <c r="I6" s="53"/>
      <c r="J6" s="78" t="s">
        <v>228</v>
      </c>
      <c r="K6" s="78" t="s">
        <v>229</v>
      </c>
      <c r="L6" s="78">
        <v>3</v>
      </c>
      <c r="M6" s="78">
        <v>100</v>
      </c>
      <c r="N6" s="78" t="s">
        <v>231</v>
      </c>
      <c r="O6" s="78"/>
      <c r="P6" s="78" t="s">
        <v>189</v>
      </c>
      <c r="Q6" s="73"/>
      <c r="R6" s="73"/>
      <c r="S6" s="17"/>
      <c r="T6" s="75"/>
      <c r="U6" s="72">
        <v>4603.62841796875</v>
      </c>
      <c r="V6" s="72">
        <v>5570.8203125</v>
      </c>
      <c r="W6" s="69"/>
      <c r="X6" s="70"/>
      <c r="Y6" s="70"/>
      <c r="Z6" s="68">
        <v>6</v>
      </c>
      <c r="AA6" s="68"/>
      <c r="AB6" s="79" t="s">
        <v>227</v>
      </c>
    </row>
    <row r="7" spans="1:30" x14ac:dyDescent="0.25">
      <c r="A7" s="15" t="s">
        <v>191</v>
      </c>
      <c r="B7" s="52"/>
      <c r="C7" s="52"/>
      <c r="D7" s="52"/>
      <c r="E7" s="52"/>
      <c r="F7" s="53"/>
      <c r="G7" s="53"/>
      <c r="H7" s="54"/>
      <c r="I7" s="53"/>
      <c r="J7" s="78" t="s">
        <v>228</v>
      </c>
      <c r="K7" s="78"/>
      <c r="L7" s="78">
        <v>1</v>
      </c>
      <c r="M7" s="78">
        <v>100</v>
      </c>
      <c r="N7" s="78"/>
      <c r="O7" s="78"/>
      <c r="P7" s="78" t="s">
        <v>191</v>
      </c>
      <c r="Q7" s="73"/>
      <c r="R7" s="73"/>
      <c r="S7" s="17"/>
      <c r="T7" s="75"/>
      <c r="U7" s="72">
        <v>7583.38134765625</v>
      </c>
      <c r="V7" s="72">
        <v>3623.6650390625</v>
      </c>
      <c r="W7" s="69"/>
      <c r="X7" s="70"/>
      <c r="Y7" s="70"/>
      <c r="Z7" s="68">
        <v>7</v>
      </c>
      <c r="AA7" s="68"/>
      <c r="AB7" s="79" t="s">
        <v>227</v>
      </c>
    </row>
    <row r="8" spans="1:30" x14ac:dyDescent="0.25">
      <c r="A8" s="15" t="s">
        <v>193</v>
      </c>
      <c r="B8" s="52"/>
      <c r="C8" s="52"/>
      <c r="D8" s="52"/>
      <c r="E8" s="52"/>
      <c r="F8" s="53"/>
      <c r="G8" s="53"/>
      <c r="H8" s="54"/>
      <c r="I8" s="53"/>
      <c r="J8" s="78" t="s">
        <v>228</v>
      </c>
      <c r="K8" s="78"/>
      <c r="L8" s="78">
        <v>1</v>
      </c>
      <c r="M8" s="78">
        <v>100</v>
      </c>
      <c r="N8" s="78"/>
      <c r="O8" s="78"/>
      <c r="P8" s="78" t="s">
        <v>193</v>
      </c>
      <c r="Q8" s="73"/>
      <c r="R8" s="73"/>
      <c r="S8" s="17"/>
      <c r="T8" s="75"/>
      <c r="U8" s="72">
        <v>2045.0032958984375</v>
      </c>
      <c r="V8" s="72">
        <v>6032.15380859375</v>
      </c>
      <c r="W8" s="69"/>
      <c r="X8" s="70"/>
      <c r="Y8" s="70"/>
      <c r="Z8" s="68">
        <v>8</v>
      </c>
      <c r="AA8" s="68"/>
      <c r="AB8" s="79" t="s">
        <v>227</v>
      </c>
    </row>
    <row r="9" spans="1:30" x14ac:dyDescent="0.25">
      <c r="A9" s="15" t="s">
        <v>195</v>
      </c>
      <c r="B9" s="52"/>
      <c r="C9" s="52"/>
      <c r="D9" s="52"/>
      <c r="E9" s="52"/>
      <c r="F9" s="53"/>
      <c r="G9" s="53"/>
      <c r="H9" s="54"/>
      <c r="I9" s="53"/>
      <c r="J9" s="78" t="s">
        <v>228</v>
      </c>
      <c r="K9" s="78"/>
      <c r="L9" s="78">
        <v>1</v>
      </c>
      <c r="M9" s="78">
        <v>100</v>
      </c>
      <c r="N9" s="78"/>
      <c r="O9" s="78"/>
      <c r="P9" s="78" t="s">
        <v>195</v>
      </c>
      <c r="Q9" s="73"/>
      <c r="R9" s="73"/>
      <c r="S9" s="17"/>
      <c r="T9" s="75"/>
      <c r="U9" s="72">
        <v>4647.49658203125</v>
      </c>
      <c r="V9" s="72">
        <v>92.135429382324219</v>
      </c>
      <c r="W9" s="69"/>
      <c r="X9" s="70"/>
      <c r="Y9" s="70"/>
      <c r="Z9" s="68">
        <v>9</v>
      </c>
      <c r="AA9" s="68"/>
      <c r="AB9" s="79" t="s">
        <v>227</v>
      </c>
    </row>
    <row r="10" spans="1:30" x14ac:dyDescent="0.25">
      <c r="A10" s="15" t="s">
        <v>192</v>
      </c>
      <c r="B10" s="52"/>
      <c r="C10" s="52"/>
      <c r="D10" s="52"/>
      <c r="E10" s="52"/>
      <c r="F10" s="53"/>
      <c r="G10" s="53"/>
      <c r="H10" s="54"/>
      <c r="I10" s="53"/>
      <c r="J10" s="78" t="s">
        <v>228</v>
      </c>
      <c r="K10" s="78" t="s">
        <v>232</v>
      </c>
      <c r="L10" s="78">
        <v>5</v>
      </c>
      <c r="M10" s="78">
        <v>100</v>
      </c>
      <c r="N10" s="78"/>
      <c r="O10" s="78"/>
      <c r="P10" s="78" t="s">
        <v>192</v>
      </c>
      <c r="Q10" s="73"/>
      <c r="R10" s="73"/>
      <c r="S10" s="17"/>
      <c r="T10" s="75"/>
      <c r="U10" s="72">
        <v>7423.63525390625</v>
      </c>
      <c r="V10" s="72">
        <v>4031.462158203125</v>
      </c>
      <c r="W10" s="69"/>
      <c r="X10" s="70"/>
      <c r="Y10" s="70"/>
      <c r="Z10" s="68">
        <v>10</v>
      </c>
      <c r="AA10" s="68"/>
      <c r="AB10" s="79" t="s">
        <v>227</v>
      </c>
    </row>
    <row r="11" spans="1:30" x14ac:dyDescent="0.25">
      <c r="A11" s="15" t="s">
        <v>194</v>
      </c>
      <c r="B11" s="52"/>
      <c r="C11" s="52"/>
      <c r="D11" s="52"/>
      <c r="E11" s="52"/>
      <c r="F11" s="53"/>
      <c r="G11" s="53"/>
      <c r="H11" s="54"/>
      <c r="I11" s="53"/>
      <c r="J11" s="78" t="s">
        <v>228</v>
      </c>
      <c r="K11" s="78" t="s">
        <v>232</v>
      </c>
      <c r="L11" s="78">
        <v>5</v>
      </c>
      <c r="M11" s="78">
        <v>100</v>
      </c>
      <c r="N11" s="78"/>
      <c r="O11" s="78"/>
      <c r="P11" s="78" t="s">
        <v>194</v>
      </c>
      <c r="Q11" s="73"/>
      <c r="R11" s="73"/>
      <c r="S11" s="17"/>
      <c r="T11" s="75"/>
      <c r="U11" s="72">
        <v>2555.800048828125</v>
      </c>
      <c r="V11" s="72">
        <v>6164.849609375</v>
      </c>
      <c r="W11" s="69"/>
      <c r="X11" s="70"/>
      <c r="Y11" s="70"/>
      <c r="Z11" s="68">
        <v>11</v>
      </c>
      <c r="AA11" s="68"/>
      <c r="AB11" s="79" t="s">
        <v>227</v>
      </c>
    </row>
    <row r="12" spans="1:30" x14ac:dyDescent="0.25">
      <c r="A12" s="15" t="s">
        <v>196</v>
      </c>
      <c r="B12" s="52"/>
      <c r="C12" s="52"/>
      <c r="D12" s="52"/>
      <c r="E12" s="52"/>
      <c r="F12" s="53"/>
      <c r="G12" s="53"/>
      <c r="H12" s="54"/>
      <c r="I12" s="53"/>
      <c r="J12" s="78" t="s">
        <v>228</v>
      </c>
      <c r="K12" s="78" t="s">
        <v>232</v>
      </c>
      <c r="L12" s="78">
        <v>5</v>
      </c>
      <c r="M12" s="78">
        <v>100</v>
      </c>
      <c r="N12" s="78"/>
      <c r="O12" s="78"/>
      <c r="P12" s="78" t="s">
        <v>196</v>
      </c>
      <c r="Q12" s="73"/>
      <c r="R12" s="73"/>
      <c r="S12" s="17"/>
      <c r="T12" s="75"/>
      <c r="U12" s="72">
        <v>4642.15625</v>
      </c>
      <c r="V12" s="72">
        <v>518.30535888671875</v>
      </c>
      <c r="W12" s="69"/>
      <c r="X12" s="70"/>
      <c r="Y12" s="70"/>
      <c r="Z12" s="68">
        <v>12</v>
      </c>
      <c r="AA12" s="68"/>
      <c r="AB12" s="79" t="s">
        <v>227</v>
      </c>
    </row>
    <row r="13" spans="1:30" x14ac:dyDescent="0.25">
      <c r="A13" s="15" t="s">
        <v>182</v>
      </c>
      <c r="B13" s="52"/>
      <c r="C13" s="52"/>
      <c r="D13" s="52"/>
      <c r="E13" s="52"/>
      <c r="F13" s="53"/>
      <c r="G13" s="53"/>
      <c r="H13" s="54"/>
      <c r="I13" s="53"/>
      <c r="J13" s="78" t="s">
        <v>228</v>
      </c>
      <c r="K13" s="78" t="s">
        <v>232</v>
      </c>
      <c r="L13" s="78">
        <v>5</v>
      </c>
      <c r="M13" s="78">
        <v>100</v>
      </c>
      <c r="N13" s="78"/>
      <c r="O13" s="78"/>
      <c r="P13" s="78" t="s">
        <v>182</v>
      </c>
      <c r="Q13" s="73"/>
      <c r="R13" s="73"/>
      <c r="S13" s="17"/>
      <c r="T13" s="75"/>
      <c r="U13" s="72">
        <v>9190.16796875</v>
      </c>
      <c r="V13" s="72">
        <v>9250.572265625</v>
      </c>
      <c r="W13" s="69"/>
      <c r="X13" s="70"/>
      <c r="Y13" s="70"/>
      <c r="Z13" s="68">
        <v>13</v>
      </c>
      <c r="AA13" s="68"/>
      <c r="AB13" s="79" t="s">
        <v>227</v>
      </c>
    </row>
    <row r="14" spans="1:30" x14ac:dyDescent="0.25">
      <c r="A14" s="15" t="s">
        <v>224</v>
      </c>
      <c r="B14" s="52"/>
      <c r="C14" s="52"/>
      <c r="D14" s="52"/>
      <c r="E14" s="52"/>
      <c r="F14" s="53"/>
      <c r="G14" s="53"/>
      <c r="H14" s="54"/>
      <c r="I14" s="53"/>
      <c r="J14" s="78" t="s">
        <v>228</v>
      </c>
      <c r="K14" s="78"/>
      <c r="L14" s="78">
        <v>1</v>
      </c>
      <c r="M14" s="78">
        <v>100</v>
      </c>
      <c r="N14" s="78"/>
      <c r="O14" s="78"/>
      <c r="P14" s="78" t="s">
        <v>224</v>
      </c>
      <c r="Q14" s="73"/>
      <c r="R14" s="73"/>
      <c r="S14" s="17"/>
      <c r="T14" s="75"/>
      <c r="U14" s="72">
        <v>7834.31689453125</v>
      </c>
      <c r="V14" s="72">
        <v>8588.376953125</v>
      </c>
      <c r="W14" s="69"/>
      <c r="X14" s="70"/>
      <c r="Y14" s="70"/>
      <c r="Z14" s="68">
        <v>14</v>
      </c>
      <c r="AA14" s="68"/>
      <c r="AB14" s="79" t="s">
        <v>227</v>
      </c>
    </row>
    <row r="15" spans="1:30" x14ac:dyDescent="0.25">
      <c r="A15" s="15" t="s">
        <v>223</v>
      </c>
      <c r="B15" s="52"/>
      <c r="C15" s="52"/>
      <c r="D15" s="52"/>
      <c r="E15" s="52"/>
      <c r="F15" s="53"/>
      <c r="G15" s="53"/>
      <c r="H15" s="54"/>
      <c r="I15" s="53"/>
      <c r="J15" s="78" t="s">
        <v>228</v>
      </c>
      <c r="K15" s="78"/>
      <c r="L15" s="78">
        <v>1</v>
      </c>
      <c r="M15" s="78">
        <v>100</v>
      </c>
      <c r="N15" s="78"/>
      <c r="O15" s="78"/>
      <c r="P15" s="78" t="s">
        <v>223</v>
      </c>
      <c r="Q15" s="73"/>
      <c r="R15" s="73"/>
      <c r="S15" s="17"/>
      <c r="T15" s="75"/>
      <c r="U15" s="72">
        <v>7353.24951171875</v>
      </c>
      <c r="V15" s="72">
        <v>8383.58203125</v>
      </c>
      <c r="W15" s="69"/>
      <c r="X15" s="70"/>
      <c r="Y15" s="70"/>
      <c r="Z15" s="68">
        <v>15</v>
      </c>
      <c r="AA15" s="68"/>
      <c r="AB15" s="79" t="s">
        <v>227</v>
      </c>
    </row>
    <row r="16" spans="1:30" x14ac:dyDescent="0.25">
      <c r="A16" s="15" t="s">
        <v>222</v>
      </c>
      <c r="B16" s="52"/>
      <c r="C16" s="52"/>
      <c r="D16" s="52"/>
      <c r="E16" s="52"/>
      <c r="F16" s="53"/>
      <c r="G16" s="53"/>
      <c r="H16" s="54"/>
      <c r="I16" s="53"/>
      <c r="J16" s="78" t="s">
        <v>228</v>
      </c>
      <c r="K16" s="78"/>
      <c r="L16" s="78">
        <v>1</v>
      </c>
      <c r="M16" s="78">
        <v>100</v>
      </c>
      <c r="N16" s="78"/>
      <c r="O16" s="78"/>
      <c r="P16" s="78" t="s">
        <v>222</v>
      </c>
      <c r="Q16" s="73"/>
      <c r="R16" s="73"/>
      <c r="S16" s="17"/>
      <c r="T16" s="75"/>
      <c r="U16" s="72">
        <v>6821.2119140625</v>
      </c>
      <c r="V16" s="72">
        <v>8193.7080078125</v>
      </c>
      <c r="W16" s="69"/>
      <c r="X16" s="70"/>
      <c r="Y16" s="70"/>
      <c r="Z16" s="68">
        <v>16</v>
      </c>
      <c r="AA16" s="68"/>
      <c r="AB16" s="79" t="s">
        <v>227</v>
      </c>
    </row>
    <row r="17" spans="1:28" x14ac:dyDescent="0.25">
      <c r="A17" s="15" t="s">
        <v>221</v>
      </c>
      <c r="B17" s="52"/>
      <c r="C17" s="52"/>
      <c r="D17" s="52"/>
      <c r="E17" s="52"/>
      <c r="F17" s="53"/>
      <c r="G17" s="53"/>
      <c r="H17" s="54"/>
      <c r="I17" s="53"/>
      <c r="J17" s="78" t="s">
        <v>228</v>
      </c>
      <c r="K17" s="78"/>
      <c r="L17" s="78">
        <v>1</v>
      </c>
      <c r="M17" s="78">
        <v>100</v>
      </c>
      <c r="N17" s="78"/>
      <c r="O17" s="78"/>
      <c r="P17" s="78" t="s">
        <v>221</v>
      </c>
      <c r="Q17" s="73"/>
      <c r="R17" s="73"/>
      <c r="S17" s="17"/>
      <c r="T17" s="75"/>
      <c r="U17" s="72">
        <v>6642.91015625</v>
      </c>
      <c r="V17" s="72">
        <v>7743.74609375</v>
      </c>
      <c r="W17" s="69"/>
      <c r="X17" s="70"/>
      <c r="Y17" s="70"/>
      <c r="Z17" s="68">
        <v>17</v>
      </c>
      <c r="AA17" s="68"/>
      <c r="AB17" s="79" t="s">
        <v>227</v>
      </c>
    </row>
    <row r="18" spans="1:28" x14ac:dyDescent="0.25">
      <c r="A18" s="15" t="s">
        <v>219</v>
      </c>
      <c r="B18" s="52"/>
      <c r="C18" s="52"/>
      <c r="D18" s="52"/>
      <c r="E18" s="52"/>
      <c r="F18" s="53"/>
      <c r="G18" s="53"/>
      <c r="H18" s="54"/>
      <c r="I18" s="53"/>
      <c r="J18" s="78" t="s">
        <v>228</v>
      </c>
      <c r="K18" s="78"/>
      <c r="L18" s="78">
        <v>1</v>
      </c>
      <c r="M18" s="78">
        <v>100</v>
      </c>
      <c r="N18" s="78"/>
      <c r="O18" s="78"/>
      <c r="P18" s="78" t="s">
        <v>219</v>
      </c>
      <c r="Q18" s="73"/>
      <c r="R18" s="73"/>
      <c r="S18" s="17"/>
      <c r="T18" s="75"/>
      <c r="U18" s="72">
        <v>6441.51123046875</v>
      </c>
      <c r="V18" s="72">
        <v>7341.94140625</v>
      </c>
      <c r="W18" s="69"/>
      <c r="X18" s="70"/>
      <c r="Y18" s="70"/>
      <c r="Z18" s="68">
        <v>18</v>
      </c>
      <c r="AA18" s="68"/>
      <c r="AB18" s="79" t="s">
        <v>227</v>
      </c>
    </row>
    <row r="19" spans="1:28" x14ac:dyDescent="0.25">
      <c r="A19" s="15" t="s">
        <v>220</v>
      </c>
      <c r="B19" s="52"/>
      <c r="C19" s="52"/>
      <c r="D19" s="52"/>
      <c r="E19" s="52"/>
      <c r="F19" s="53"/>
      <c r="G19" s="53"/>
      <c r="H19" s="54"/>
      <c r="I19" s="53"/>
      <c r="J19" s="78" t="s">
        <v>228</v>
      </c>
      <c r="K19" s="78"/>
      <c r="L19" s="78">
        <v>1</v>
      </c>
      <c r="M19" s="78">
        <v>100</v>
      </c>
      <c r="N19" s="78"/>
      <c r="O19" s="78"/>
      <c r="P19" s="78" t="s">
        <v>220</v>
      </c>
      <c r="Q19" s="73"/>
      <c r="R19" s="73"/>
      <c r="S19" s="17"/>
      <c r="T19" s="75"/>
      <c r="U19" s="72">
        <v>6287.5419921875</v>
      </c>
      <c r="V19" s="72">
        <v>6942.14990234375</v>
      </c>
      <c r="W19" s="69"/>
      <c r="X19" s="70"/>
      <c r="Y19" s="70"/>
      <c r="Z19" s="68">
        <v>19</v>
      </c>
      <c r="AA19" s="68"/>
      <c r="AB19" s="79" t="s">
        <v>227</v>
      </c>
    </row>
    <row r="20" spans="1:28" x14ac:dyDescent="0.25">
      <c r="A20" s="15" t="s">
        <v>217</v>
      </c>
      <c r="B20" s="52"/>
      <c r="C20" s="52"/>
      <c r="D20" s="52"/>
      <c r="E20" s="52"/>
      <c r="F20" s="53"/>
      <c r="G20" s="53"/>
      <c r="H20" s="54"/>
      <c r="I20" s="53"/>
      <c r="J20" s="78" t="s">
        <v>228</v>
      </c>
      <c r="K20" s="78"/>
      <c r="L20" s="78">
        <v>1</v>
      </c>
      <c r="M20" s="78">
        <v>100</v>
      </c>
      <c r="N20" s="78"/>
      <c r="O20" s="78"/>
      <c r="P20" s="78" t="s">
        <v>217</v>
      </c>
      <c r="Q20" s="73"/>
      <c r="R20" s="73"/>
      <c r="S20" s="17"/>
      <c r="T20" s="75"/>
      <c r="U20" s="72">
        <v>4333.697265625</v>
      </c>
      <c r="V20" s="72">
        <v>1320.9176025390625</v>
      </c>
      <c r="W20" s="69"/>
      <c r="X20" s="70"/>
      <c r="Y20" s="70"/>
      <c r="Z20" s="68">
        <v>20</v>
      </c>
      <c r="AA20" s="68"/>
      <c r="AB20" s="79" t="s">
        <v>227</v>
      </c>
    </row>
    <row r="21" spans="1:28" x14ac:dyDescent="0.25">
      <c r="A21" s="15" t="s">
        <v>213</v>
      </c>
      <c r="B21" s="52"/>
      <c r="C21" s="52"/>
      <c r="D21" s="52"/>
      <c r="E21" s="52"/>
      <c r="F21" s="53"/>
      <c r="G21" s="53"/>
      <c r="H21" s="54"/>
      <c r="I21" s="53"/>
      <c r="J21" s="78" t="s">
        <v>228</v>
      </c>
      <c r="K21" s="78"/>
      <c r="L21" s="78">
        <v>1</v>
      </c>
      <c r="M21" s="78">
        <v>100</v>
      </c>
      <c r="N21" s="78"/>
      <c r="O21" s="78"/>
      <c r="P21" s="78" t="s">
        <v>213</v>
      </c>
      <c r="Q21" s="73"/>
      <c r="R21" s="73"/>
      <c r="S21" s="17"/>
      <c r="T21" s="75"/>
      <c r="U21" s="72">
        <v>6694.8583984375</v>
      </c>
      <c r="V21" s="72">
        <v>4628.01904296875</v>
      </c>
      <c r="W21" s="69"/>
      <c r="X21" s="70"/>
      <c r="Y21" s="70"/>
      <c r="Z21" s="68">
        <v>21</v>
      </c>
      <c r="AA21" s="68"/>
      <c r="AB21" s="79" t="s">
        <v>227</v>
      </c>
    </row>
    <row r="22" spans="1:28" x14ac:dyDescent="0.25">
      <c r="A22" s="15" t="s">
        <v>215</v>
      </c>
      <c r="B22" s="52"/>
      <c r="C22" s="52"/>
      <c r="D22" s="52"/>
      <c r="E22" s="52"/>
      <c r="F22" s="53"/>
      <c r="G22" s="53"/>
      <c r="H22" s="54"/>
      <c r="I22" s="53"/>
      <c r="J22" s="78" t="s">
        <v>228</v>
      </c>
      <c r="K22" s="78"/>
      <c r="L22" s="78">
        <v>1</v>
      </c>
      <c r="M22" s="78">
        <v>100</v>
      </c>
      <c r="N22" s="78"/>
      <c r="O22" s="78"/>
      <c r="P22" s="78" t="s">
        <v>215</v>
      </c>
      <c r="Q22" s="73"/>
      <c r="R22" s="73"/>
      <c r="S22" s="17"/>
      <c r="T22" s="75"/>
      <c r="U22" s="72">
        <v>3588.316650390625</v>
      </c>
      <c r="V22" s="72">
        <v>6037.4267578125</v>
      </c>
      <c r="W22" s="69"/>
      <c r="X22" s="70"/>
      <c r="Y22" s="70"/>
      <c r="Z22" s="68">
        <v>22</v>
      </c>
      <c r="AA22" s="68"/>
      <c r="AB22" s="79" t="s">
        <v>227</v>
      </c>
    </row>
    <row r="23" spans="1:28" x14ac:dyDescent="0.25">
      <c r="A23" s="15" t="s">
        <v>204</v>
      </c>
      <c r="B23" s="52"/>
      <c r="C23" s="52"/>
      <c r="D23" s="52"/>
      <c r="E23" s="52"/>
      <c r="F23" s="53"/>
      <c r="G23" s="53"/>
      <c r="H23" s="54"/>
      <c r="I23" s="53"/>
      <c r="J23" s="78" t="s">
        <v>228</v>
      </c>
      <c r="K23" s="78"/>
      <c r="L23" s="78">
        <v>1</v>
      </c>
      <c r="M23" s="78">
        <v>100</v>
      </c>
      <c r="N23" s="78"/>
      <c r="O23" s="78"/>
      <c r="P23" s="78" t="s">
        <v>204</v>
      </c>
      <c r="Q23" s="73"/>
      <c r="R23" s="73"/>
      <c r="S23" s="17"/>
      <c r="T23" s="75"/>
      <c r="U23" s="72">
        <v>1121.58447265625</v>
      </c>
      <c r="V23" s="72">
        <v>2345.09814453125</v>
      </c>
      <c r="W23" s="69"/>
      <c r="X23" s="70"/>
      <c r="Y23" s="70"/>
      <c r="Z23" s="68">
        <v>23</v>
      </c>
      <c r="AA23" s="68"/>
      <c r="AB23" s="79" t="s">
        <v>227</v>
      </c>
    </row>
    <row r="24" spans="1:28" x14ac:dyDescent="0.25">
      <c r="A24" s="15" t="s">
        <v>183</v>
      </c>
      <c r="B24" s="52"/>
      <c r="C24" s="52"/>
      <c r="D24" s="52"/>
      <c r="E24" s="52"/>
      <c r="F24" s="53"/>
      <c r="G24" s="53"/>
      <c r="H24" s="54"/>
      <c r="I24" s="53"/>
      <c r="J24" s="78" t="s">
        <v>228</v>
      </c>
      <c r="K24" s="78"/>
      <c r="L24" s="78">
        <v>1</v>
      </c>
      <c r="M24" s="78">
        <v>100</v>
      </c>
      <c r="N24" s="78"/>
      <c r="O24" s="78"/>
      <c r="P24" s="78" t="s">
        <v>183</v>
      </c>
      <c r="Q24" s="73"/>
      <c r="R24" s="73"/>
      <c r="S24" s="17"/>
      <c r="T24" s="75"/>
      <c r="U24" s="72">
        <v>3356.314453125</v>
      </c>
      <c r="V24" s="72">
        <v>2462.3037109375</v>
      </c>
      <c r="W24" s="69"/>
      <c r="X24" s="70"/>
      <c r="Y24" s="70"/>
      <c r="Z24" s="68">
        <v>24</v>
      </c>
      <c r="AA24" s="68"/>
      <c r="AB24" s="79" t="s">
        <v>227</v>
      </c>
    </row>
    <row r="25" spans="1:28" x14ac:dyDescent="0.25">
      <c r="A25" s="15" t="s">
        <v>185</v>
      </c>
      <c r="B25" s="52"/>
      <c r="C25" s="52"/>
      <c r="D25" s="52"/>
      <c r="E25" s="52"/>
      <c r="F25" s="53"/>
      <c r="G25" s="53"/>
      <c r="H25" s="54"/>
      <c r="I25" s="53"/>
      <c r="J25" s="78" t="s">
        <v>228</v>
      </c>
      <c r="K25" s="78"/>
      <c r="L25" s="78">
        <v>1</v>
      </c>
      <c r="M25" s="78">
        <v>100</v>
      </c>
      <c r="N25" s="78"/>
      <c r="O25" s="78"/>
      <c r="P25" s="78" t="s">
        <v>185</v>
      </c>
      <c r="Q25" s="73"/>
      <c r="R25" s="73"/>
      <c r="S25" s="17"/>
      <c r="T25" s="75"/>
      <c r="U25" s="72">
        <v>4022.99072265625</v>
      </c>
      <c r="V25" s="72">
        <v>1676.76220703125</v>
      </c>
      <c r="W25" s="69"/>
      <c r="X25" s="70"/>
      <c r="Y25" s="70"/>
      <c r="Z25" s="68">
        <v>25</v>
      </c>
      <c r="AA25" s="68"/>
      <c r="AB25" s="79" t="s">
        <v>227</v>
      </c>
    </row>
    <row r="26" spans="1:28" x14ac:dyDescent="0.25">
      <c r="A26" s="15" t="s">
        <v>209</v>
      </c>
      <c r="B26" s="52"/>
      <c r="C26" s="52"/>
      <c r="D26" s="52"/>
      <c r="E26" s="52"/>
      <c r="F26" s="53"/>
      <c r="G26" s="53"/>
      <c r="H26" s="54"/>
      <c r="I26" s="53"/>
      <c r="J26" s="78" t="s">
        <v>228</v>
      </c>
      <c r="K26" s="78"/>
      <c r="L26" s="78">
        <v>1</v>
      </c>
      <c r="M26" s="78">
        <v>100</v>
      </c>
      <c r="N26" s="78"/>
      <c r="O26" s="78"/>
      <c r="P26" s="78" t="s">
        <v>209</v>
      </c>
      <c r="Q26" s="73"/>
      <c r="R26" s="73"/>
      <c r="S26" s="17"/>
      <c r="T26" s="75"/>
      <c r="U26" s="72">
        <v>3634.1953125</v>
      </c>
      <c r="V26" s="72">
        <v>2907.113037109375</v>
      </c>
      <c r="W26" s="69"/>
      <c r="X26" s="70"/>
      <c r="Y26" s="70"/>
      <c r="Z26" s="68">
        <v>26</v>
      </c>
      <c r="AA26" s="68"/>
      <c r="AB26" s="79" t="s">
        <v>227</v>
      </c>
    </row>
    <row r="27" spans="1:28" x14ac:dyDescent="0.25">
      <c r="A27" s="15" t="s">
        <v>207</v>
      </c>
      <c r="B27" s="52"/>
      <c r="C27" s="52"/>
      <c r="D27" s="52"/>
      <c r="E27" s="52"/>
      <c r="F27" s="53"/>
      <c r="G27" s="53"/>
      <c r="H27" s="54"/>
      <c r="I27" s="53"/>
      <c r="J27" s="78" t="s">
        <v>228</v>
      </c>
      <c r="K27" s="78"/>
      <c r="L27" s="78">
        <v>1</v>
      </c>
      <c r="M27" s="78">
        <v>100</v>
      </c>
      <c r="N27" s="78"/>
      <c r="O27" s="78"/>
      <c r="P27" s="78" t="s">
        <v>207</v>
      </c>
      <c r="Q27" s="73"/>
      <c r="R27" s="73"/>
      <c r="S27" s="17"/>
      <c r="T27" s="75"/>
      <c r="U27" s="72">
        <v>4052.836669921875</v>
      </c>
      <c r="V27" s="72">
        <v>3705.285888671875</v>
      </c>
      <c r="W27" s="69"/>
      <c r="X27" s="70"/>
      <c r="Y27" s="70"/>
      <c r="Z27" s="68">
        <v>27</v>
      </c>
      <c r="AA27" s="68"/>
      <c r="AB27" s="79" t="s">
        <v>227</v>
      </c>
    </row>
    <row r="28" spans="1:28" x14ac:dyDescent="0.25">
      <c r="A28" s="15" t="s">
        <v>188</v>
      </c>
      <c r="B28" s="52"/>
      <c r="C28" s="52"/>
      <c r="D28" s="52"/>
      <c r="E28" s="52"/>
      <c r="F28" s="53"/>
      <c r="G28" s="53"/>
      <c r="H28" s="54"/>
      <c r="I28" s="53"/>
      <c r="J28" s="78" t="s">
        <v>228</v>
      </c>
      <c r="K28" s="78"/>
      <c r="L28" s="78">
        <v>1</v>
      </c>
      <c r="M28" s="78">
        <v>100</v>
      </c>
      <c r="N28" s="78"/>
      <c r="O28" s="78"/>
      <c r="P28" s="78" t="s">
        <v>188</v>
      </c>
      <c r="Q28" s="73"/>
      <c r="R28" s="73"/>
      <c r="S28" s="17"/>
      <c r="T28" s="75"/>
      <c r="U28" s="72">
        <v>6210.3505859375</v>
      </c>
      <c r="V28" s="72">
        <v>4850.048828125</v>
      </c>
      <c r="W28" s="69"/>
      <c r="X28" s="70"/>
      <c r="Y28" s="70"/>
      <c r="Z28" s="68">
        <v>28</v>
      </c>
      <c r="AA28" s="68"/>
      <c r="AB28" s="79" t="s">
        <v>227</v>
      </c>
    </row>
    <row r="29" spans="1:28" x14ac:dyDescent="0.25">
      <c r="A29" s="15" t="s">
        <v>186</v>
      </c>
      <c r="B29" s="52"/>
      <c r="C29" s="52"/>
      <c r="D29" s="52"/>
      <c r="E29" s="52"/>
      <c r="F29" s="53"/>
      <c r="G29" s="53"/>
      <c r="H29" s="54"/>
      <c r="I29" s="53"/>
      <c r="J29" s="78" t="s">
        <v>228</v>
      </c>
      <c r="K29" s="78"/>
      <c r="L29" s="78">
        <v>1</v>
      </c>
      <c r="M29" s="78">
        <v>100</v>
      </c>
      <c r="N29" s="78"/>
      <c r="O29" s="78"/>
      <c r="P29" s="78" t="s">
        <v>186</v>
      </c>
      <c r="Q29" s="73"/>
      <c r="R29" s="73"/>
      <c r="S29" s="17"/>
      <c r="T29" s="75"/>
      <c r="U29" s="72">
        <v>5142.634765625</v>
      </c>
      <c r="V29" s="72">
        <v>5328.5302734375</v>
      </c>
      <c r="W29" s="69"/>
      <c r="X29" s="70"/>
      <c r="Y29" s="70"/>
      <c r="Z29" s="68">
        <v>29</v>
      </c>
      <c r="AA29" s="68"/>
      <c r="AB29" s="79" t="s">
        <v>227</v>
      </c>
    </row>
    <row r="30" spans="1:28" x14ac:dyDescent="0.25">
      <c r="A30" s="15" t="s">
        <v>190</v>
      </c>
      <c r="B30" s="52"/>
      <c r="C30" s="52"/>
      <c r="D30" s="52"/>
      <c r="E30" s="52"/>
      <c r="F30" s="53"/>
      <c r="G30" s="53"/>
      <c r="H30" s="54"/>
      <c r="I30" s="53"/>
      <c r="J30" s="78" t="s">
        <v>228</v>
      </c>
      <c r="K30" s="78"/>
      <c r="L30" s="78">
        <v>1</v>
      </c>
      <c r="M30" s="78">
        <v>100</v>
      </c>
      <c r="N30" s="78"/>
      <c r="O30" s="78"/>
      <c r="P30" s="78" t="s">
        <v>190</v>
      </c>
      <c r="Q30" s="73"/>
      <c r="R30" s="73"/>
      <c r="S30" s="17"/>
      <c r="T30" s="75"/>
      <c r="U30" s="72">
        <v>4076.12158203125</v>
      </c>
      <c r="V30" s="72">
        <v>5812.7919921875</v>
      </c>
      <c r="W30" s="69"/>
      <c r="X30" s="70"/>
      <c r="Y30" s="70"/>
      <c r="Z30" s="68">
        <v>30</v>
      </c>
      <c r="AA30" s="68"/>
      <c r="AB30" s="79" t="s">
        <v>227</v>
      </c>
    </row>
    <row r="31" spans="1:28" x14ac:dyDescent="0.25">
      <c r="A31" s="15" t="s">
        <v>212</v>
      </c>
      <c r="B31" s="52"/>
      <c r="C31" s="52"/>
      <c r="D31" s="52"/>
      <c r="E31" s="52"/>
      <c r="F31" s="53"/>
      <c r="G31" s="53"/>
      <c r="H31" s="54"/>
      <c r="I31" s="53"/>
      <c r="J31" s="78" t="s">
        <v>228</v>
      </c>
      <c r="K31" s="78"/>
      <c r="L31" s="78">
        <v>1</v>
      </c>
      <c r="M31" s="78">
        <v>100</v>
      </c>
      <c r="N31" s="78"/>
      <c r="O31" s="78"/>
      <c r="P31" s="78" t="s">
        <v>212</v>
      </c>
      <c r="Q31" s="73"/>
      <c r="R31" s="73"/>
      <c r="S31" s="17"/>
      <c r="T31" s="75"/>
      <c r="U31" s="72">
        <v>4273.19970703125</v>
      </c>
      <c r="V31" s="72">
        <v>4082.022705078125</v>
      </c>
      <c r="W31" s="69"/>
      <c r="X31" s="70"/>
      <c r="Y31" s="70"/>
      <c r="Z31" s="68">
        <v>31</v>
      </c>
      <c r="AA31" s="68"/>
      <c r="AB31" s="79" t="s">
        <v>227</v>
      </c>
    </row>
    <row r="32" spans="1:28" x14ac:dyDescent="0.25">
      <c r="A32" s="15" t="s">
        <v>210</v>
      </c>
      <c r="B32" s="52"/>
      <c r="C32" s="52"/>
      <c r="D32" s="52"/>
      <c r="E32" s="52"/>
      <c r="F32" s="53"/>
      <c r="G32" s="53"/>
      <c r="H32" s="54"/>
      <c r="I32" s="53"/>
      <c r="J32" s="78" t="s">
        <v>228</v>
      </c>
      <c r="K32" s="78"/>
      <c r="L32" s="78">
        <v>1</v>
      </c>
      <c r="M32" s="78">
        <v>100</v>
      </c>
      <c r="N32" s="78"/>
      <c r="O32" s="78"/>
      <c r="P32" s="78" t="s">
        <v>210</v>
      </c>
      <c r="Q32" s="73"/>
      <c r="R32" s="73"/>
      <c r="S32" s="17"/>
      <c r="T32" s="75"/>
      <c r="U32" s="72">
        <v>4840.712890625</v>
      </c>
      <c r="V32" s="72">
        <v>4888.0380859375</v>
      </c>
      <c r="W32" s="69"/>
      <c r="X32" s="70"/>
      <c r="Y32" s="70"/>
      <c r="Z32" s="68">
        <v>32</v>
      </c>
      <c r="AA32" s="68"/>
      <c r="AB32" s="79" t="s">
        <v>227</v>
      </c>
    </row>
    <row r="33" spans="1:28" x14ac:dyDescent="0.25">
      <c r="A33" s="15" t="s">
        <v>200</v>
      </c>
      <c r="B33" s="52"/>
      <c r="C33" s="52"/>
      <c r="D33" s="52"/>
      <c r="E33" s="52"/>
      <c r="F33" s="53"/>
      <c r="G33" s="53"/>
      <c r="H33" s="54"/>
      <c r="I33" s="53"/>
      <c r="J33" s="78" t="s">
        <v>228</v>
      </c>
      <c r="K33" s="78"/>
      <c r="L33" s="78">
        <v>1</v>
      </c>
      <c r="M33" s="78">
        <v>100</v>
      </c>
      <c r="N33" s="78"/>
      <c r="O33" s="78"/>
      <c r="P33" s="78" t="s">
        <v>200</v>
      </c>
      <c r="Q33" s="73"/>
      <c r="R33" s="73"/>
      <c r="S33" s="17"/>
      <c r="T33" s="75"/>
      <c r="U33" s="72">
        <v>5448.69775390625</v>
      </c>
      <c r="V33" s="72">
        <v>5773.615234375</v>
      </c>
      <c r="W33" s="69"/>
      <c r="X33" s="70"/>
      <c r="Y33" s="70"/>
      <c r="Z33" s="68">
        <v>33</v>
      </c>
      <c r="AA33" s="68"/>
      <c r="AB33" s="79" t="s">
        <v>227</v>
      </c>
    </row>
    <row r="34" spans="1:28" x14ac:dyDescent="0.25">
      <c r="A34" s="15" t="s">
        <v>198</v>
      </c>
      <c r="B34" s="52"/>
      <c r="C34" s="52"/>
      <c r="D34" s="52"/>
      <c r="E34" s="52"/>
      <c r="F34" s="53"/>
      <c r="G34" s="53"/>
      <c r="H34" s="54"/>
      <c r="I34" s="53"/>
      <c r="J34" s="78" t="s">
        <v>228</v>
      </c>
      <c r="K34" s="78"/>
      <c r="L34" s="78">
        <v>1</v>
      </c>
      <c r="M34" s="78">
        <v>100</v>
      </c>
      <c r="N34" s="78"/>
      <c r="O34" s="78"/>
      <c r="P34" s="78" t="s">
        <v>198</v>
      </c>
      <c r="Q34" s="73"/>
      <c r="R34" s="73"/>
      <c r="S34" s="17"/>
      <c r="T34" s="75"/>
      <c r="U34" s="72">
        <v>6030.47705078125</v>
      </c>
      <c r="V34" s="72">
        <v>6573.60986328125</v>
      </c>
      <c r="W34" s="69"/>
      <c r="X34" s="70"/>
      <c r="Y34" s="70"/>
      <c r="Z34" s="68">
        <v>34</v>
      </c>
      <c r="AA34" s="68"/>
      <c r="AB34" s="79" t="s">
        <v>227</v>
      </c>
    </row>
    <row r="35" spans="1:28" x14ac:dyDescent="0.25">
      <c r="A35" s="15" t="s">
        <v>201</v>
      </c>
      <c r="B35" s="52"/>
      <c r="C35" s="52"/>
      <c r="D35" s="52"/>
      <c r="E35" s="52"/>
      <c r="F35" s="53"/>
      <c r="G35" s="53"/>
      <c r="H35" s="54"/>
      <c r="I35" s="53"/>
      <c r="J35" s="78" t="s">
        <v>228</v>
      </c>
      <c r="K35" s="78"/>
      <c r="L35" s="78">
        <v>1</v>
      </c>
      <c r="M35" s="78">
        <v>100</v>
      </c>
      <c r="N35" s="78"/>
      <c r="O35" s="78"/>
      <c r="P35" s="78" t="s">
        <v>201</v>
      </c>
      <c r="Q35" s="73"/>
      <c r="R35" s="73"/>
      <c r="S35" s="17"/>
      <c r="T35" s="75"/>
      <c r="U35" s="72">
        <v>2740.8642578125</v>
      </c>
      <c r="V35" s="72">
        <v>2421.55029296875</v>
      </c>
      <c r="W35" s="69"/>
      <c r="X35" s="70"/>
      <c r="Y35" s="70"/>
      <c r="Z35" s="68">
        <v>35</v>
      </c>
      <c r="AA35" s="68"/>
      <c r="AB35" s="79" t="s">
        <v>227</v>
      </c>
    </row>
    <row r="36" spans="1:28" x14ac:dyDescent="0.25">
      <c r="A36" s="15" t="s">
        <v>203</v>
      </c>
      <c r="B36" s="52"/>
      <c r="C36" s="52"/>
      <c r="D36" s="52"/>
      <c r="E36" s="52"/>
      <c r="F36" s="53"/>
      <c r="G36" s="53"/>
      <c r="H36" s="54"/>
      <c r="I36" s="53"/>
      <c r="J36" s="78" t="s">
        <v>228</v>
      </c>
      <c r="K36" s="78"/>
      <c r="L36" s="78">
        <v>1</v>
      </c>
      <c r="M36" s="78">
        <v>100</v>
      </c>
      <c r="N36" s="78"/>
      <c r="O36" s="78"/>
      <c r="P36" s="78" t="s">
        <v>203</v>
      </c>
      <c r="Q36" s="73"/>
      <c r="R36" s="73"/>
      <c r="S36" s="17"/>
      <c r="T36" s="75"/>
      <c r="U36" s="72">
        <v>1645.977783203125</v>
      </c>
      <c r="V36" s="72">
        <v>2334.486083984375</v>
      </c>
      <c r="W36" s="69"/>
      <c r="X36" s="70"/>
      <c r="Y36" s="70"/>
      <c r="Z36" s="68">
        <v>36</v>
      </c>
      <c r="AA36" s="68"/>
      <c r="AB36" s="79" t="s">
        <v>227</v>
      </c>
    </row>
    <row r="37" spans="1:28" x14ac:dyDescent="0.25">
      <c r="A37" s="15" t="s">
        <v>225</v>
      </c>
      <c r="B37" s="52"/>
      <c r="C37" s="52"/>
      <c r="D37" s="52"/>
      <c r="E37" s="52"/>
      <c r="F37" s="53"/>
      <c r="G37" s="53"/>
      <c r="H37" s="54"/>
      <c r="I37" s="53"/>
      <c r="J37" s="78" t="s">
        <v>228</v>
      </c>
      <c r="K37" s="78"/>
      <c r="L37" s="78">
        <v>1</v>
      </c>
      <c r="M37" s="78">
        <v>100</v>
      </c>
      <c r="N37" s="78"/>
      <c r="O37" s="78"/>
      <c r="P37" s="78" t="s">
        <v>225</v>
      </c>
      <c r="Q37" s="73"/>
      <c r="R37" s="73"/>
      <c r="S37" s="17"/>
      <c r="T37" s="75"/>
      <c r="U37" s="72">
        <v>6335.28662109375</v>
      </c>
      <c r="V37" s="72">
        <v>8551.333984375</v>
      </c>
      <c r="W37" s="69"/>
      <c r="X37" s="70"/>
      <c r="Y37" s="70"/>
      <c r="Z37" s="68">
        <v>37</v>
      </c>
      <c r="AA37" s="68"/>
      <c r="AB37" s="79" t="s">
        <v>227</v>
      </c>
    </row>
    <row r="38" spans="1:28" x14ac:dyDescent="0.25">
      <c r="A38" s="15" t="s">
        <v>206</v>
      </c>
      <c r="B38" s="52"/>
      <c r="C38" s="52"/>
      <c r="D38" s="52"/>
      <c r="E38" s="52"/>
      <c r="F38" s="53"/>
      <c r="G38" s="53"/>
      <c r="H38" s="54"/>
      <c r="I38" s="53"/>
      <c r="J38" s="78" t="s">
        <v>228</v>
      </c>
      <c r="K38" s="78"/>
      <c r="L38" s="78">
        <v>1</v>
      </c>
      <c r="M38" s="78">
        <v>100</v>
      </c>
      <c r="N38" s="78"/>
      <c r="O38" s="78"/>
      <c r="P38" s="78" t="s">
        <v>206</v>
      </c>
      <c r="Q38" s="73"/>
      <c r="R38" s="73"/>
      <c r="S38" s="17"/>
      <c r="T38" s="75"/>
      <c r="U38" s="72">
        <v>137.37364196777344</v>
      </c>
      <c r="V38" s="72">
        <v>2634.873046875</v>
      </c>
      <c r="W38" s="69"/>
      <c r="X38" s="70"/>
      <c r="Y38" s="70"/>
      <c r="Z38" s="68">
        <v>38</v>
      </c>
      <c r="AA38" s="68"/>
      <c r="AB38" s="79" t="s">
        <v>227</v>
      </c>
    </row>
    <row r="39" spans="1:28" x14ac:dyDescent="0.25">
      <c r="A39" s="15" t="s">
        <v>226</v>
      </c>
      <c r="B39" s="52"/>
      <c r="C39" s="52"/>
      <c r="D39" s="52"/>
      <c r="E39" s="52"/>
      <c r="F39" s="53"/>
      <c r="G39" s="53"/>
      <c r="H39" s="54"/>
      <c r="I39" s="53"/>
      <c r="J39" s="78" t="s">
        <v>228</v>
      </c>
      <c r="K39" s="78"/>
      <c r="L39" s="78">
        <v>1</v>
      </c>
      <c r="M39" s="78">
        <v>100</v>
      </c>
      <c r="N39" s="78"/>
      <c r="O39" s="78"/>
      <c r="P39" s="78" t="s">
        <v>226</v>
      </c>
      <c r="Q39" s="73"/>
      <c r="R39" s="73"/>
      <c r="S39" s="17"/>
      <c r="T39" s="75"/>
      <c r="U39" s="72">
        <v>8311.2060546875</v>
      </c>
      <c r="V39" s="72">
        <v>8781.6591796875</v>
      </c>
      <c r="W39" s="69"/>
      <c r="X39" s="70"/>
      <c r="Y39" s="70"/>
      <c r="Z39" s="68">
        <v>39</v>
      </c>
      <c r="AA39" s="68"/>
      <c r="AB39" s="79" t="s">
        <v>227</v>
      </c>
    </row>
    <row r="40" spans="1:28" x14ac:dyDescent="0.25">
      <c r="A40" s="15" t="s">
        <v>197</v>
      </c>
      <c r="B40" s="52"/>
      <c r="C40" s="52"/>
      <c r="D40" s="52"/>
      <c r="E40" s="52"/>
      <c r="F40" s="53"/>
      <c r="G40" s="53"/>
      <c r="H40" s="54"/>
      <c r="I40" s="53"/>
      <c r="J40" s="78" t="s">
        <v>228</v>
      </c>
      <c r="K40" s="78"/>
      <c r="L40" s="78">
        <v>1</v>
      </c>
      <c r="M40" s="78">
        <v>100</v>
      </c>
      <c r="N40" s="78"/>
      <c r="O40" s="78"/>
      <c r="P40" s="78" t="s">
        <v>197</v>
      </c>
      <c r="Q40" s="73"/>
      <c r="R40" s="73"/>
      <c r="S40" s="17"/>
      <c r="T40" s="75"/>
      <c r="U40" s="72">
        <v>8776.591796875</v>
      </c>
      <c r="V40" s="72">
        <v>8982.91796875</v>
      </c>
      <c r="W40" s="69"/>
      <c r="X40" s="70"/>
      <c r="Y40" s="70"/>
      <c r="Z40" s="68">
        <v>40</v>
      </c>
      <c r="AA40" s="68"/>
      <c r="AB40" s="79" t="s">
        <v>227</v>
      </c>
    </row>
    <row r="41" spans="1:28" x14ac:dyDescent="0.25">
      <c r="A41" s="15" t="s">
        <v>180</v>
      </c>
      <c r="B41" s="52"/>
      <c r="C41" s="52"/>
      <c r="D41" s="52"/>
      <c r="E41" s="52"/>
      <c r="F41" s="53"/>
      <c r="G41" s="53"/>
      <c r="H41" s="54"/>
      <c r="I41" s="53"/>
      <c r="J41" s="78" t="s">
        <v>228</v>
      </c>
      <c r="K41" s="78"/>
      <c r="L41" s="78">
        <v>1</v>
      </c>
      <c r="M41" s="78">
        <v>100</v>
      </c>
      <c r="N41" s="78"/>
      <c r="O41" s="78"/>
      <c r="P41" s="78" t="s">
        <v>180</v>
      </c>
      <c r="Q41" s="73"/>
      <c r="R41" s="73"/>
      <c r="S41" s="17"/>
      <c r="T41" s="75"/>
      <c r="U41" s="72">
        <v>9861.6259765625</v>
      </c>
      <c r="V41" s="72">
        <v>9906.8642578125</v>
      </c>
      <c r="W41" s="69"/>
      <c r="X41" s="70"/>
      <c r="Y41" s="70"/>
      <c r="Z41" s="68">
        <v>41</v>
      </c>
      <c r="AA41" s="68"/>
      <c r="AB41" s="79" t="s">
        <v>227</v>
      </c>
    </row>
    <row r="42" spans="1:28" x14ac:dyDescent="0.25">
      <c r="A42" s="15" t="s">
        <v>199</v>
      </c>
      <c r="B42" s="52"/>
      <c r="C42" s="52"/>
      <c r="D42" s="52"/>
      <c r="E42" s="52"/>
      <c r="F42" s="53"/>
      <c r="G42" s="53"/>
      <c r="H42" s="54"/>
      <c r="I42" s="53"/>
      <c r="J42" s="78" t="s">
        <v>228</v>
      </c>
      <c r="K42" s="78" t="s">
        <v>229</v>
      </c>
      <c r="L42" s="78">
        <v>3</v>
      </c>
      <c r="M42" s="78">
        <v>100</v>
      </c>
      <c r="N42" s="78" t="s">
        <v>233</v>
      </c>
      <c r="O42" s="78"/>
      <c r="P42" s="78" t="s">
        <v>199</v>
      </c>
      <c r="Q42" s="73"/>
      <c r="R42" s="73"/>
      <c r="S42" s="17"/>
      <c r="T42" s="75"/>
      <c r="U42" s="72">
        <v>5745.83447265625</v>
      </c>
      <c r="V42" s="72">
        <v>6192.34716796875</v>
      </c>
      <c r="W42" s="69"/>
      <c r="X42" s="70"/>
      <c r="Y42" s="70"/>
      <c r="Z42" s="68">
        <v>42</v>
      </c>
      <c r="AA42" s="68"/>
      <c r="AB42" s="79" t="s">
        <v>227</v>
      </c>
    </row>
    <row r="43" spans="1:28" x14ac:dyDescent="0.25">
      <c r="A43" s="15" t="s">
        <v>202</v>
      </c>
      <c r="B43" s="52"/>
      <c r="C43" s="52"/>
      <c r="D43" s="52"/>
      <c r="E43" s="52"/>
      <c r="F43" s="53"/>
      <c r="G43" s="53"/>
      <c r="H43" s="54"/>
      <c r="I43" s="53"/>
      <c r="J43" s="78" t="s">
        <v>228</v>
      </c>
      <c r="K43" s="78" t="s">
        <v>229</v>
      </c>
      <c r="L43" s="78">
        <v>3</v>
      </c>
      <c r="M43" s="78">
        <v>100</v>
      </c>
      <c r="N43" s="78" t="s">
        <v>233</v>
      </c>
      <c r="O43" s="78"/>
      <c r="P43" s="78" t="s">
        <v>202</v>
      </c>
      <c r="Q43" s="73"/>
      <c r="R43" s="73"/>
      <c r="S43" s="17"/>
      <c r="T43" s="75"/>
      <c r="U43" s="72">
        <v>2180.072509765625</v>
      </c>
      <c r="V43" s="72">
        <v>2375.623291015625</v>
      </c>
      <c r="W43" s="69"/>
      <c r="X43" s="70"/>
      <c r="Y43" s="70"/>
      <c r="Z43" s="68">
        <v>43</v>
      </c>
      <c r="AA43" s="68"/>
      <c r="AB43" s="79" t="s">
        <v>227</v>
      </c>
    </row>
    <row r="44" spans="1:28" x14ac:dyDescent="0.25">
      <c r="A44" s="15" t="s">
        <v>205</v>
      </c>
      <c r="B44" s="52"/>
      <c r="C44" s="52"/>
      <c r="D44" s="52"/>
      <c r="E44" s="52"/>
      <c r="F44" s="53"/>
      <c r="G44" s="53"/>
      <c r="H44" s="54"/>
      <c r="I44" s="53"/>
      <c r="J44" s="78" t="s">
        <v>228</v>
      </c>
      <c r="K44" s="78" t="s">
        <v>229</v>
      </c>
      <c r="L44" s="78">
        <v>3</v>
      </c>
      <c r="M44" s="78">
        <v>100</v>
      </c>
      <c r="N44" s="78" t="s">
        <v>233</v>
      </c>
      <c r="O44" s="78"/>
      <c r="P44" s="78" t="s">
        <v>205</v>
      </c>
      <c r="Q44" s="73"/>
      <c r="R44" s="73"/>
      <c r="S44" s="17"/>
      <c r="T44" s="75"/>
      <c r="U44" s="72">
        <v>720.64862060546875</v>
      </c>
      <c r="V44" s="72">
        <v>2469.64892578125</v>
      </c>
      <c r="W44" s="69"/>
      <c r="X44" s="70"/>
      <c r="Y44" s="70"/>
      <c r="Z44" s="68">
        <v>44</v>
      </c>
      <c r="AA44" s="68"/>
      <c r="AB44" s="79" t="s">
        <v>227</v>
      </c>
    </row>
    <row r="45" spans="1:28" x14ac:dyDescent="0.25">
      <c r="A45" s="15" t="s">
        <v>208</v>
      </c>
      <c r="B45" s="52"/>
      <c r="C45" s="52"/>
      <c r="D45" s="52"/>
      <c r="E45" s="52"/>
      <c r="F45" s="53"/>
      <c r="G45" s="53"/>
      <c r="H45" s="54"/>
      <c r="I45" s="53"/>
      <c r="J45" s="78" t="s">
        <v>228</v>
      </c>
      <c r="K45" s="78" t="s">
        <v>229</v>
      </c>
      <c r="L45" s="78">
        <v>3</v>
      </c>
      <c r="M45" s="78">
        <v>100</v>
      </c>
      <c r="N45" s="78" t="s">
        <v>233</v>
      </c>
      <c r="O45" s="78"/>
      <c r="P45" s="78" t="s">
        <v>208</v>
      </c>
      <c r="Q45" s="73"/>
      <c r="R45" s="73"/>
      <c r="S45" s="17"/>
      <c r="T45" s="75"/>
      <c r="U45" s="72">
        <v>3869.291015625</v>
      </c>
      <c r="V45" s="72">
        <v>3312.295654296875</v>
      </c>
      <c r="W45" s="69"/>
      <c r="X45" s="70"/>
      <c r="Y45" s="70"/>
      <c r="Z45" s="68">
        <v>45</v>
      </c>
      <c r="AA45" s="68"/>
      <c r="AB45" s="79" t="s">
        <v>227</v>
      </c>
    </row>
    <row r="46" spans="1:28" x14ac:dyDescent="0.25">
      <c r="A46" s="15" t="s">
        <v>211</v>
      </c>
      <c r="B46" s="52"/>
      <c r="C46" s="52"/>
      <c r="D46" s="52"/>
      <c r="E46" s="52"/>
      <c r="F46" s="53"/>
      <c r="G46" s="53"/>
      <c r="H46" s="54"/>
      <c r="I46" s="53"/>
      <c r="J46" s="78" t="s">
        <v>228</v>
      </c>
      <c r="K46" s="78" t="s">
        <v>229</v>
      </c>
      <c r="L46" s="78">
        <v>3</v>
      </c>
      <c r="M46" s="78">
        <v>100</v>
      </c>
      <c r="N46" s="78" t="s">
        <v>233</v>
      </c>
      <c r="O46" s="78"/>
      <c r="P46" s="78" t="s">
        <v>211</v>
      </c>
      <c r="Q46" s="73"/>
      <c r="R46" s="73"/>
      <c r="S46" s="17"/>
      <c r="T46" s="75"/>
      <c r="U46" s="72">
        <v>4547.04443359375</v>
      </c>
      <c r="V46" s="72">
        <v>4463.89892578125</v>
      </c>
      <c r="W46" s="69"/>
      <c r="X46" s="70"/>
      <c r="Y46" s="70"/>
      <c r="Z46" s="68">
        <v>46</v>
      </c>
      <c r="AA46" s="68"/>
      <c r="AB46" s="79" t="s">
        <v>227</v>
      </c>
    </row>
    <row r="47" spans="1:28" x14ac:dyDescent="0.25">
      <c r="A47" s="15" t="s">
        <v>214</v>
      </c>
      <c r="B47" s="52"/>
      <c r="C47" s="52"/>
      <c r="D47" s="52"/>
      <c r="E47" s="52"/>
      <c r="F47" s="53"/>
      <c r="G47" s="53"/>
      <c r="H47" s="54"/>
      <c r="I47" s="53"/>
      <c r="J47" s="78" t="s">
        <v>228</v>
      </c>
      <c r="K47" s="78" t="s">
        <v>229</v>
      </c>
      <c r="L47" s="78">
        <v>3</v>
      </c>
      <c r="M47" s="78">
        <v>100</v>
      </c>
      <c r="N47" s="78" t="s">
        <v>234</v>
      </c>
      <c r="O47" s="78"/>
      <c r="P47" s="78" t="s">
        <v>214</v>
      </c>
      <c r="Q47" s="73"/>
      <c r="R47" s="73"/>
      <c r="S47" s="17"/>
      <c r="T47" s="75"/>
      <c r="U47" s="72">
        <v>7137.83544921875</v>
      </c>
      <c r="V47" s="72">
        <v>4390.51953125</v>
      </c>
      <c r="W47" s="69"/>
      <c r="X47" s="70"/>
      <c r="Y47" s="70"/>
      <c r="Z47" s="68">
        <v>47</v>
      </c>
      <c r="AA47" s="68"/>
      <c r="AB47" s="79" t="s">
        <v>227</v>
      </c>
    </row>
    <row r="48" spans="1:28" x14ac:dyDescent="0.25">
      <c r="A48" s="15" t="s">
        <v>216</v>
      </c>
      <c r="B48" s="52"/>
      <c r="C48" s="52"/>
      <c r="D48" s="52"/>
      <c r="E48" s="52"/>
      <c r="F48" s="53"/>
      <c r="G48" s="53"/>
      <c r="H48" s="54"/>
      <c r="I48" s="53"/>
      <c r="J48" s="78" t="s">
        <v>228</v>
      </c>
      <c r="K48" s="78" t="s">
        <v>229</v>
      </c>
      <c r="L48" s="78">
        <v>3</v>
      </c>
      <c r="M48" s="78">
        <v>100</v>
      </c>
      <c r="N48" s="78" t="s">
        <v>234</v>
      </c>
      <c r="O48" s="78"/>
      <c r="P48" s="78" t="s">
        <v>216</v>
      </c>
      <c r="Q48" s="73"/>
      <c r="R48" s="73"/>
      <c r="S48" s="17"/>
      <c r="T48" s="75"/>
      <c r="U48" s="72">
        <v>3085.368408203125</v>
      </c>
      <c r="V48" s="72">
        <v>6181.60595703125</v>
      </c>
      <c r="W48" s="69"/>
      <c r="X48" s="70"/>
      <c r="Y48" s="70"/>
      <c r="Z48" s="68">
        <v>48</v>
      </c>
      <c r="AA48" s="68"/>
      <c r="AB48" s="79" t="s">
        <v>227</v>
      </c>
    </row>
    <row r="49" spans="1:28" x14ac:dyDescent="0.25">
      <c r="A49" s="15" t="s">
        <v>218</v>
      </c>
      <c r="B49" s="52"/>
      <c r="C49" s="52"/>
      <c r="D49" s="52"/>
      <c r="E49" s="52"/>
      <c r="F49" s="53"/>
      <c r="G49" s="53"/>
      <c r="H49" s="54"/>
      <c r="I49" s="53"/>
      <c r="J49" s="78" t="s">
        <v>228</v>
      </c>
      <c r="K49" s="78" t="s">
        <v>229</v>
      </c>
      <c r="L49" s="78">
        <v>3</v>
      </c>
      <c r="M49" s="78">
        <v>100</v>
      </c>
      <c r="N49" s="78" t="s">
        <v>234</v>
      </c>
      <c r="O49" s="78"/>
      <c r="P49" s="78" t="s">
        <v>218</v>
      </c>
      <c r="Q49" s="73"/>
      <c r="R49" s="73"/>
      <c r="S49" s="17"/>
      <c r="T49" s="75"/>
      <c r="U49" s="72">
        <v>4563.50439453125</v>
      </c>
      <c r="V49" s="72">
        <v>940.44757080078125</v>
      </c>
      <c r="W49" s="69"/>
      <c r="X49" s="70"/>
      <c r="Y49" s="70"/>
      <c r="Z49" s="68">
        <v>49</v>
      </c>
      <c r="AA49" s="68"/>
      <c r="AB49" s="79" t="s">
        <v>227</v>
      </c>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Z49"/>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W49">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49"/>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T49"/>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X49"/>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Y49"/>
    <dataValidation allowBlank="1" showInputMessage="1" errorTitle="Invalid Vertex Image Key" promptTitle="Vertex Tooltip" prompt="Enter optional text that will pop up when the mouse is hovered over the vertex." sqref="S3:S49"/>
    <dataValidation allowBlank="1" errorTitle="Invalid Vertex Visibility" error="You have entered an unrecognized vertex visibility.  Try selecting from the drop-down list instead." promptTitle="Vertex ID" prompt="This is a unique ID that gets filled in automatically.  Do not edit this column." sqref="AA3:AA49"/>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O49">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P49"/>
    <dataValidation allowBlank="1" showInputMessage="1" promptTitle="Vertex Label Fill Color" prompt="To select an optional fill color for the Label shape, right-click and select Select Color on the right-click menu." sqref="Q3:Q49"/>
    <dataValidation allowBlank="1" showInputMessage="1" errorTitle="Invalid Vertex Image Key" promptTitle="Image File" prompt="Enter the path to an image file.  Hover over the column header for examples." sqref="N3:N49"/>
    <dataValidation allowBlank="1" showInputMessage="1" showErrorMessage="1" promptTitle="Vertex Name" prompt="Enter the name of the vertex." sqref="A3:A49"/>
    <dataValidation allowBlank="1" showInputMessage="1" promptTitle="Vertex Color" prompt="To select an optional vertex color, right-click and select Select Color on the right-click menu." sqref="J3:J49"/>
    <dataValidation allowBlank="1" showInputMessage="1" errorTitle="Invalid Vertex Opacity" error="The optional vertex opacity must be a whole number between 0 and 10." promptTitle="Vertex Opacity" prompt="Enter an optional vertex opacity between 0 (transparent) and 100 (opaque)." sqref="M3:M49"/>
    <dataValidation type="list" allowBlank="1" showInputMessage="1" showErrorMessage="1" errorTitle="Unrecognized Vertex Shape" error="You have entered an unrecognized vertex shape.  Try selecting from the drop-down list instead." promptTitle="Vertex Shape" prompt="Select an optional vertex shape." sqref="K3:K49">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L49"/>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R49">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58</v>
      </c>
    </row>
    <row r="2" spans="1:1" ht="15" customHeight="1" x14ac:dyDescent="0.25"/>
    <row r="3" spans="1:1" ht="15" customHeight="1" x14ac:dyDescent="0.25">
      <c r="A3" s="33" t="s">
        <v>59</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
  <sheetViews>
    <sheetView workbookViewId="0">
      <selection activeCell="A3" sqref="A3"/>
    </sheetView>
  </sheetViews>
  <sheetFormatPr defaultRowHeight="15" x14ac:dyDescent="0.25"/>
  <cols>
    <col min="1" max="1" width="9.42578125" style="1" bestFit="1" customWidth="1"/>
    <col min="2" max="2" width="14.28515625" bestFit="1" customWidth="1"/>
    <col min="3" max="3" width="15" bestFit="1" customWidth="1"/>
    <col min="4" max="4" width="13" bestFit="1" customWidth="1"/>
    <col min="5" max="6" width="11" hidden="1" customWidth="1"/>
    <col min="7" max="7" width="9.7109375" hidden="1" customWidth="1"/>
    <col min="8" max="8" width="13.140625" hidden="1" customWidth="1"/>
    <col min="9" max="10" width="8.42578125" hidden="1" customWidth="1"/>
    <col min="11" max="11" width="14.5703125" hidden="1" customWidth="1"/>
    <col min="12" max="12" width="25" hidden="1" customWidth="1"/>
    <col min="13" max="14" width="24.140625" hidden="1" customWidth="1"/>
    <col min="15" max="15" width="21.28515625" hidden="1" customWidth="1"/>
    <col min="16" max="16" width="19.28515625" hidden="1" customWidth="1"/>
    <col min="17" max="17" width="10" hidden="1" customWidth="1"/>
  </cols>
  <sheetData>
    <row r="1" spans="1:17" x14ac:dyDescent="0.25">
      <c r="B1" s="16" t="s">
        <v>48</v>
      </c>
      <c r="C1" s="16"/>
      <c r="D1" s="16"/>
      <c r="E1" s="65" t="s">
        <v>49</v>
      </c>
      <c r="F1" s="36" t="s">
        <v>51</v>
      </c>
      <c r="G1" s="36"/>
      <c r="H1" s="36"/>
      <c r="I1" s="36"/>
      <c r="J1" s="36"/>
      <c r="K1" s="36"/>
      <c r="L1" s="36"/>
      <c r="M1" s="36"/>
      <c r="N1" s="36"/>
      <c r="O1" s="36"/>
      <c r="P1" s="36"/>
      <c r="Q1" s="36"/>
    </row>
    <row r="2" spans="1:17" s="14" customFormat="1" ht="30" customHeight="1" x14ac:dyDescent="0.25">
      <c r="A2" s="11" t="s">
        <v>156</v>
      </c>
      <c r="B2" s="14" t="s">
        <v>21</v>
      </c>
      <c r="C2" s="14" t="s">
        <v>20</v>
      </c>
      <c r="D2" s="14" t="s">
        <v>157</v>
      </c>
      <c r="E2" s="14" t="s">
        <v>12</v>
      </c>
      <c r="F2" s="14" t="s">
        <v>158</v>
      </c>
      <c r="G2" s="14" t="s">
        <v>162</v>
      </c>
      <c r="H2" s="14" t="s">
        <v>163</v>
      </c>
      <c r="I2" s="14" t="s">
        <v>164</v>
      </c>
      <c r="J2" s="14" t="s">
        <v>165</v>
      </c>
      <c r="K2" s="14" t="s">
        <v>166</v>
      </c>
      <c r="L2" s="14" t="s">
        <v>167</v>
      </c>
      <c r="M2" s="14" t="s">
        <v>168</v>
      </c>
      <c r="N2" s="14" t="s">
        <v>169</v>
      </c>
      <c r="O2" s="14" t="s">
        <v>170</v>
      </c>
      <c r="P2" s="14" t="s">
        <v>171</v>
      </c>
      <c r="Q2" s="14" t="s">
        <v>172</v>
      </c>
    </row>
    <row r="3" spans="1:17" x14ac:dyDescent="0.25">
      <c r="A3" s="15"/>
      <c r="B3" s="16"/>
      <c r="C3" s="16"/>
      <c r="D3" s="16"/>
      <c r="E3" s="65"/>
      <c r="F3" s="49"/>
      <c r="G3" s="49"/>
      <c r="H3" s="49"/>
      <c r="I3" s="49"/>
      <c r="J3" s="49"/>
      <c r="K3" s="49"/>
      <c r="L3" s="49"/>
      <c r="M3" s="49"/>
      <c r="N3" s="49"/>
      <c r="O3" s="49"/>
      <c r="P3" s="50"/>
      <c r="Q3" s="50"/>
    </row>
    <row r="10" spans="1:17" ht="14.25" customHeight="1" x14ac:dyDescent="0.25"/>
  </sheetData>
  <dataConsolidate/>
  <dataValidations count="5">
    <dataValidation allowBlank="1" showInputMessage="1" promptTitle="Vertex Color" prompt="To select a color to use for all vertices in the group, right-click and select Select Color on the right-click menu." sqref="B3"/>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unrecognized &quot;group collapsed.&quot;  Try selecting from the drop-down list instead." promptTitle="Group Collapsed?" prompt="Set to Yes to collapse the group." sqref="D3">
      <formula1>ValidBooleansDefaultFalse</formula1>
    </dataValidation>
    <dataValidation allowBlank="1" sqref="F3"/>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156</v>
      </c>
      <c r="B1" s="1" t="s">
        <v>5</v>
      </c>
      <c r="C1" s="1" t="s">
        <v>159</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39"/>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4" t="s">
        <v>177</v>
      </c>
      <c r="B1" s="14" t="s">
        <v>17</v>
      </c>
      <c r="D1" t="s">
        <v>91</v>
      </c>
      <c r="E1" t="s">
        <v>92</v>
      </c>
      <c r="F1" s="38" t="s">
        <v>98</v>
      </c>
      <c r="G1" s="39" t="s">
        <v>99</v>
      </c>
      <c r="H1" s="38" t="s">
        <v>104</v>
      </c>
      <c r="I1" s="39" t="s">
        <v>105</v>
      </c>
      <c r="J1" s="38" t="s">
        <v>110</v>
      </c>
      <c r="K1" s="39" t="s">
        <v>111</v>
      </c>
      <c r="L1" s="38" t="s">
        <v>116</v>
      </c>
      <c r="M1" s="39" t="s">
        <v>117</v>
      </c>
      <c r="N1" s="38" t="s">
        <v>122</v>
      </c>
      <c r="O1" s="39" t="s">
        <v>123</v>
      </c>
      <c r="P1" s="39" t="s">
        <v>150</v>
      </c>
      <c r="Q1" s="39" t="s">
        <v>151</v>
      </c>
      <c r="R1" s="38" t="s">
        <v>128</v>
      </c>
      <c r="S1" s="38" t="s">
        <v>129</v>
      </c>
      <c r="T1" s="38" t="s">
        <v>134</v>
      </c>
      <c r="U1" s="39" t="s">
        <v>135</v>
      </c>
      <c r="W1" t="s">
        <v>139</v>
      </c>
      <c r="X1" t="s">
        <v>17</v>
      </c>
    </row>
    <row r="2" spans="1:24" ht="15.75" thickTop="1" x14ac:dyDescent="0.25">
      <c r="A2" s="37"/>
      <c r="B2" s="37"/>
      <c r="D2" s="34">
        <f>MIN(Vertices[Degree])</f>
        <v>0</v>
      </c>
      <c r="E2" s="3">
        <f>COUNTIF(Vertices[Degree], "&gt;= " &amp; D2) - COUNTIF(Vertices[Degree], "&gt;=" &amp; D3)</f>
        <v>0</v>
      </c>
      <c r="F2" s="40">
        <f>MIN(Vertices[In-Degree])</f>
        <v>0</v>
      </c>
      <c r="G2" s="41">
        <f>COUNTIF(Vertices[In-Degree], "&gt;= " &amp; F2) - COUNTIF(Vertices[In-Degree], "&gt;=" &amp; F3)</f>
        <v>0</v>
      </c>
      <c r="H2" s="40">
        <f>MIN(Vertices[Out-Degree])</f>
        <v>0</v>
      </c>
      <c r="I2" s="41">
        <f>COUNTIF(Vertices[Out-Degree], "&gt;= " &amp; H2) - COUNTIF(Vertices[Out-Degree], "&gt;=" &amp; H3)</f>
        <v>0</v>
      </c>
      <c r="J2" s="40">
        <f>MIN(Vertices[Betweenness Centrality])</f>
        <v>0</v>
      </c>
      <c r="K2" s="41">
        <f>COUNTIF(Vertices[Betweenness Centrality], "&gt;= " &amp; J2) - COUNTIF(Vertices[Betweenness Centrality], "&gt;=" &amp; J3)</f>
        <v>0</v>
      </c>
      <c r="L2" s="40">
        <f>MIN(Vertices[Closeness Centrality])</f>
        <v>0</v>
      </c>
      <c r="M2" s="41">
        <f>COUNTIF(Vertices[Closeness Centrality], "&gt;= " &amp; L2) - COUNTIF(Vertices[Closeness Centrality], "&gt;=" &amp; L3)</f>
        <v>0</v>
      </c>
      <c r="N2" s="40">
        <f>MIN(Vertices[Eigenvector Centrality])</f>
        <v>0</v>
      </c>
      <c r="O2" s="41">
        <f>COUNTIF(Vertices[Eigenvector Centrality], "&gt;= " &amp; N2) - COUNTIF(Vertices[Eigenvector Centrality], "&gt;=" &amp; N3)</f>
        <v>0</v>
      </c>
      <c r="P2" s="40">
        <f>MIN(Vertices[PageRank])</f>
        <v>0</v>
      </c>
      <c r="Q2" s="41">
        <f>COUNTIF(Vertices[PageRank], "&gt;= " &amp; P2) - COUNTIF(Vertices[PageRank], "&gt;=" &amp; P3)</f>
        <v>0</v>
      </c>
      <c r="R2" s="40">
        <f>MIN(Vertices[Clustering Coefficient])</f>
        <v>0</v>
      </c>
      <c r="S2" s="46">
        <f>COUNTIF(Vertices[Clustering Coefficient], "&gt;= " &amp; R2) - COUNTIF(Vertices[Clustering Coefficient], "&gt;=" &amp; R3)</f>
        <v>0</v>
      </c>
      <c r="T2" s="40" t="e">
        <f ca="1">MIN(INDIRECT(DynamicFilterSourceColumnRange))</f>
        <v>#REF!</v>
      </c>
      <c r="U2" s="41" t="e">
        <f t="shared" ref="U2:U45" ca="1" si="0">COUNTIF(INDIRECT(DynamicFilterSourceColumnRange), "&gt;= " &amp; T2) - COUNTIF(INDIRECT(DynamicFilterSourceColumnRange), "&gt;=" &amp; T3)</f>
        <v>#REF!</v>
      </c>
      <c r="W2" t="s">
        <v>136</v>
      </c>
      <c r="X2">
        <f>ROWS(HistogramBins[Degree Bin]) - 1</f>
        <v>43</v>
      </c>
    </row>
    <row r="3" spans="1:24" x14ac:dyDescent="0.25">
      <c r="A3" s="37"/>
      <c r="B3" s="37"/>
      <c r="D3" s="35">
        <f t="shared" ref="D3:D44" si="1">D2+($D$45-$D$2)/BinDivisor</f>
        <v>0</v>
      </c>
      <c r="E3" s="3">
        <f>COUNTIF(Vertices[Degree], "&gt;= " &amp; D3) - COUNTIF(Vertices[Degree], "&gt;=" &amp; D4)</f>
        <v>0</v>
      </c>
      <c r="F3" s="42">
        <f t="shared" ref="F3:F44" si="2">F2+($F$45-$F$2)/BinDivisor</f>
        <v>0</v>
      </c>
      <c r="G3" s="43">
        <f>COUNTIF(Vertices[In-Degree], "&gt;= " &amp; F3) - COUNTIF(Vertices[In-Degree], "&gt;=" &amp; F4)</f>
        <v>0</v>
      </c>
      <c r="H3" s="42">
        <f t="shared" ref="H3:H44" si="3">H2+($H$45-$H$2)/BinDivisor</f>
        <v>0</v>
      </c>
      <c r="I3" s="43">
        <f>COUNTIF(Vertices[Out-Degree], "&gt;= " &amp; H3) - COUNTIF(Vertices[Out-Degree], "&gt;=" &amp; H4)</f>
        <v>0</v>
      </c>
      <c r="J3" s="42">
        <f t="shared" ref="J3:J44" si="4">J2+($J$45-$J$2)/BinDivisor</f>
        <v>0</v>
      </c>
      <c r="K3" s="43">
        <f>COUNTIF(Vertices[Betweenness Centrality], "&gt;= " &amp; J3) - COUNTIF(Vertices[Betweenness Centrality], "&gt;=" &amp; J4)</f>
        <v>0</v>
      </c>
      <c r="L3" s="42">
        <f t="shared" ref="L3:L44" si="5">L2+($L$45-$L$2)/BinDivisor</f>
        <v>0</v>
      </c>
      <c r="M3" s="43">
        <f>COUNTIF(Vertices[Closeness Centrality], "&gt;= " &amp; L3) - COUNTIF(Vertices[Closeness Centrality], "&gt;=" &amp; L4)</f>
        <v>0</v>
      </c>
      <c r="N3" s="42">
        <f t="shared" ref="N3:N44" si="6">N2+($N$45-$N$2)/BinDivisor</f>
        <v>0</v>
      </c>
      <c r="O3" s="43">
        <f>COUNTIF(Vertices[Eigenvector Centrality], "&gt;= " &amp; N3) - COUNTIF(Vertices[Eigenvector Centrality], "&gt;=" &amp; N4)</f>
        <v>0</v>
      </c>
      <c r="P3" s="42">
        <f t="shared" ref="P3:P44" si="7">P2+($P$45-$P$2)/BinDivisor</f>
        <v>0</v>
      </c>
      <c r="Q3" s="43">
        <f>COUNTIF(Vertices[PageRank], "&gt;= " &amp; P3) - COUNTIF(Vertices[PageRank], "&gt;=" &amp; P4)</f>
        <v>0</v>
      </c>
      <c r="R3" s="42">
        <f t="shared" ref="R3:R44" si="8">R2+($R$45-$R$2)/BinDivisor</f>
        <v>0</v>
      </c>
      <c r="S3" s="47">
        <f>COUNTIF(Vertices[Clustering Coefficient], "&gt;= " &amp; R3) - COUNTIF(Vertices[Clustering Coefficient], "&gt;=" &amp; R4)</f>
        <v>0</v>
      </c>
      <c r="T3" s="42" t="e">
        <f t="shared" ref="T3:T44" ca="1" si="9">T2+($T$45-$T$2)/BinDivisor</f>
        <v>#REF!</v>
      </c>
      <c r="U3" s="43" t="e">
        <f t="shared" ca="1" si="0"/>
        <v>#REF!</v>
      </c>
      <c r="W3" t="s">
        <v>137</v>
      </c>
      <c r="X3" t="s">
        <v>97</v>
      </c>
    </row>
    <row r="4" spans="1:24" x14ac:dyDescent="0.25">
      <c r="A4" s="37"/>
      <c r="B4" s="37"/>
      <c r="D4" s="35">
        <f t="shared" si="1"/>
        <v>0</v>
      </c>
      <c r="E4" s="3">
        <f>COUNTIF(Vertices[Degree], "&gt;= " &amp; D4) - COUNTIF(Vertices[Degree], "&gt;=" &amp; D5)</f>
        <v>0</v>
      </c>
      <c r="F4" s="40">
        <f t="shared" si="2"/>
        <v>0</v>
      </c>
      <c r="G4" s="41">
        <f>COUNTIF(Vertices[In-Degree], "&gt;= " &amp; F4) - COUNTIF(Vertices[In-Degree], "&gt;=" &amp; F5)</f>
        <v>0</v>
      </c>
      <c r="H4" s="40">
        <f t="shared" si="3"/>
        <v>0</v>
      </c>
      <c r="I4" s="41">
        <f>COUNTIF(Vertices[Out-Degree], "&gt;= " &amp; H4) - COUNTIF(Vertices[Out-Degree], "&gt;=" &amp; H5)</f>
        <v>0</v>
      </c>
      <c r="J4" s="40">
        <f t="shared" si="4"/>
        <v>0</v>
      </c>
      <c r="K4" s="41">
        <f>COUNTIF(Vertices[Betweenness Centrality], "&gt;= " &amp; J4) - COUNTIF(Vertices[Betweenness Centrality], "&gt;=" &amp; J5)</f>
        <v>0</v>
      </c>
      <c r="L4" s="40">
        <f t="shared" si="5"/>
        <v>0</v>
      </c>
      <c r="M4" s="41">
        <f>COUNTIF(Vertices[Closeness Centrality], "&gt;= " &amp; L4) - COUNTIF(Vertices[Closeness Centrality], "&gt;=" &amp; L5)</f>
        <v>0</v>
      </c>
      <c r="N4" s="40">
        <f t="shared" si="6"/>
        <v>0</v>
      </c>
      <c r="O4" s="41">
        <f>COUNTIF(Vertices[Eigenvector Centrality], "&gt;= " &amp; N4) - COUNTIF(Vertices[Eigenvector Centrality], "&gt;=" &amp; N5)</f>
        <v>0</v>
      </c>
      <c r="P4" s="40">
        <f t="shared" si="7"/>
        <v>0</v>
      </c>
      <c r="Q4" s="41">
        <f>COUNTIF(Vertices[PageRank], "&gt;= " &amp; P4) - COUNTIF(Vertices[PageRank], "&gt;=" &amp; P5)</f>
        <v>0</v>
      </c>
      <c r="R4" s="40">
        <f t="shared" si="8"/>
        <v>0</v>
      </c>
      <c r="S4" s="46">
        <f>COUNTIF(Vertices[Clustering Coefficient], "&gt;= " &amp; R4) - COUNTIF(Vertices[Clustering Coefficient], "&gt;=" &amp; R5)</f>
        <v>0</v>
      </c>
      <c r="T4" s="40" t="e">
        <f t="shared" ca="1" si="9"/>
        <v>#REF!</v>
      </c>
      <c r="U4" s="41" t="e">
        <f t="shared" ca="1" si="0"/>
        <v>#REF!</v>
      </c>
      <c r="W4" s="12" t="s">
        <v>138</v>
      </c>
      <c r="X4" s="12" t="s">
        <v>140</v>
      </c>
    </row>
    <row r="5" spans="1:24" x14ac:dyDescent="0.25">
      <c r="A5" s="37"/>
      <c r="B5" s="37"/>
      <c r="D5" s="35">
        <f t="shared" si="1"/>
        <v>0</v>
      </c>
      <c r="E5" s="3">
        <f>COUNTIF(Vertices[Degree], "&gt;= " &amp; D5) - COUNTIF(Vertices[Degree], "&gt;=" &amp; D6)</f>
        <v>0</v>
      </c>
      <c r="F5" s="42">
        <f t="shared" si="2"/>
        <v>0</v>
      </c>
      <c r="G5" s="43">
        <f>COUNTIF(Vertices[In-Degree], "&gt;= " &amp; F5) - COUNTIF(Vertices[In-Degree], "&gt;=" &amp; F6)</f>
        <v>0</v>
      </c>
      <c r="H5" s="42">
        <f t="shared" si="3"/>
        <v>0</v>
      </c>
      <c r="I5" s="43">
        <f>COUNTIF(Vertices[Out-Degree], "&gt;= " &amp; H5) - COUNTIF(Vertices[Out-Degree], "&gt;=" &amp; H6)</f>
        <v>0</v>
      </c>
      <c r="J5" s="42">
        <f t="shared" si="4"/>
        <v>0</v>
      </c>
      <c r="K5" s="43">
        <f>COUNTIF(Vertices[Betweenness Centrality], "&gt;= " &amp; J5) - COUNTIF(Vertices[Betweenness Centrality], "&gt;=" &amp; J6)</f>
        <v>0</v>
      </c>
      <c r="L5" s="42">
        <f t="shared" si="5"/>
        <v>0</v>
      </c>
      <c r="M5" s="43">
        <f>COUNTIF(Vertices[Closeness Centrality], "&gt;= " &amp; L5) - COUNTIF(Vertices[Closeness Centrality], "&gt;=" &amp; L6)</f>
        <v>0</v>
      </c>
      <c r="N5" s="42">
        <f t="shared" si="6"/>
        <v>0</v>
      </c>
      <c r="O5" s="43">
        <f>COUNTIF(Vertices[Eigenvector Centrality], "&gt;= " &amp; N5) - COUNTIF(Vertices[Eigenvector Centrality], "&gt;=" &amp; N6)</f>
        <v>0</v>
      </c>
      <c r="P5" s="42">
        <f t="shared" si="7"/>
        <v>0</v>
      </c>
      <c r="Q5" s="43">
        <f>COUNTIF(Vertices[PageRank], "&gt;= " &amp; P5) - COUNTIF(Vertices[PageRank], "&gt;=" &amp; P6)</f>
        <v>0</v>
      </c>
      <c r="R5" s="42">
        <f t="shared" si="8"/>
        <v>0</v>
      </c>
      <c r="S5" s="47">
        <f>COUNTIF(Vertices[Clustering Coefficient], "&gt;= " &amp; R5) - COUNTIF(Vertices[Clustering Coefficient], "&gt;=" &amp; R6)</f>
        <v>0</v>
      </c>
      <c r="T5" s="42" t="e">
        <f t="shared" ca="1" si="9"/>
        <v>#REF!</v>
      </c>
      <c r="U5" s="43" t="e">
        <f t="shared" ca="1" si="0"/>
        <v>#REF!</v>
      </c>
    </row>
    <row r="6" spans="1:24" x14ac:dyDescent="0.25">
      <c r="A6" s="37"/>
      <c r="B6" s="37"/>
      <c r="D6" s="35">
        <f t="shared" si="1"/>
        <v>0</v>
      </c>
      <c r="E6" s="3">
        <f>COUNTIF(Vertices[Degree], "&gt;= " &amp; D6) - COUNTIF(Vertices[Degree], "&gt;=" &amp; D7)</f>
        <v>0</v>
      </c>
      <c r="F6" s="40">
        <f t="shared" si="2"/>
        <v>0</v>
      </c>
      <c r="G6" s="41">
        <f>COUNTIF(Vertices[In-Degree], "&gt;= " &amp; F6) - COUNTIF(Vertices[In-Degree], "&gt;=" &amp; F7)</f>
        <v>0</v>
      </c>
      <c r="H6" s="40">
        <f t="shared" si="3"/>
        <v>0</v>
      </c>
      <c r="I6" s="41">
        <f>COUNTIF(Vertices[Out-Degree], "&gt;= " &amp; H6) - COUNTIF(Vertices[Out-Degree], "&gt;=" &amp; H7)</f>
        <v>0</v>
      </c>
      <c r="J6" s="40">
        <f t="shared" si="4"/>
        <v>0</v>
      </c>
      <c r="K6" s="41">
        <f>COUNTIF(Vertices[Betweenness Centrality], "&gt;= " &amp; J6) - COUNTIF(Vertices[Betweenness Centrality], "&gt;=" &amp; J7)</f>
        <v>0</v>
      </c>
      <c r="L6" s="40">
        <f t="shared" si="5"/>
        <v>0</v>
      </c>
      <c r="M6" s="41">
        <f>COUNTIF(Vertices[Closeness Centrality], "&gt;= " &amp; L6) - COUNTIF(Vertices[Closeness Centrality], "&gt;=" &amp; L7)</f>
        <v>0</v>
      </c>
      <c r="N6" s="40">
        <f t="shared" si="6"/>
        <v>0</v>
      </c>
      <c r="O6" s="41">
        <f>COUNTIF(Vertices[Eigenvector Centrality], "&gt;= " &amp; N6) - COUNTIF(Vertices[Eigenvector Centrality], "&gt;=" &amp; N7)</f>
        <v>0</v>
      </c>
      <c r="P6" s="40">
        <f t="shared" si="7"/>
        <v>0</v>
      </c>
      <c r="Q6" s="41">
        <f>COUNTIF(Vertices[PageRank], "&gt;= " &amp; P6) - COUNTIF(Vertices[PageRank], "&gt;=" &amp; P7)</f>
        <v>0</v>
      </c>
      <c r="R6" s="40">
        <f t="shared" si="8"/>
        <v>0</v>
      </c>
      <c r="S6" s="46">
        <f>COUNTIF(Vertices[Clustering Coefficient], "&gt;= " &amp; R6) - COUNTIF(Vertices[Clustering Coefficient], "&gt;=" &amp; R7)</f>
        <v>0</v>
      </c>
      <c r="T6" s="40" t="e">
        <f t="shared" ca="1" si="9"/>
        <v>#REF!</v>
      </c>
      <c r="U6" s="41" t="e">
        <f t="shared" ca="1" si="0"/>
        <v>#REF!</v>
      </c>
    </row>
    <row r="7" spans="1:24" x14ac:dyDescent="0.25">
      <c r="A7" s="37"/>
      <c r="B7" s="37"/>
      <c r="D7" s="35">
        <f t="shared" si="1"/>
        <v>0</v>
      </c>
      <c r="E7" s="3">
        <f>COUNTIF(Vertices[Degree], "&gt;= " &amp; D7) - COUNTIF(Vertices[Degree], "&gt;=" &amp; D8)</f>
        <v>0</v>
      </c>
      <c r="F7" s="42">
        <f t="shared" si="2"/>
        <v>0</v>
      </c>
      <c r="G7" s="43">
        <f>COUNTIF(Vertices[In-Degree], "&gt;= " &amp; F7) - COUNTIF(Vertices[In-Degree], "&gt;=" &amp; F8)</f>
        <v>0</v>
      </c>
      <c r="H7" s="42">
        <f t="shared" si="3"/>
        <v>0</v>
      </c>
      <c r="I7" s="43">
        <f>COUNTIF(Vertices[Out-Degree], "&gt;= " &amp; H7) - COUNTIF(Vertices[Out-Degree], "&gt;=" &amp; H8)</f>
        <v>0</v>
      </c>
      <c r="J7" s="42">
        <f t="shared" si="4"/>
        <v>0</v>
      </c>
      <c r="K7" s="43">
        <f>COUNTIF(Vertices[Betweenness Centrality], "&gt;= " &amp; J7) - COUNTIF(Vertices[Betweenness Centrality], "&gt;=" &amp; J8)</f>
        <v>0</v>
      </c>
      <c r="L7" s="42">
        <f t="shared" si="5"/>
        <v>0</v>
      </c>
      <c r="M7" s="43">
        <f>COUNTIF(Vertices[Closeness Centrality], "&gt;= " &amp; L7) - COUNTIF(Vertices[Closeness Centrality], "&gt;=" &amp; L8)</f>
        <v>0</v>
      </c>
      <c r="N7" s="42">
        <f t="shared" si="6"/>
        <v>0</v>
      </c>
      <c r="O7" s="43">
        <f>COUNTIF(Vertices[Eigenvector Centrality], "&gt;= " &amp; N7) - COUNTIF(Vertices[Eigenvector Centrality], "&gt;=" &amp; N8)</f>
        <v>0</v>
      </c>
      <c r="P7" s="42">
        <f t="shared" si="7"/>
        <v>0</v>
      </c>
      <c r="Q7" s="43">
        <f>COUNTIF(Vertices[PageRank], "&gt;= " &amp; P7) - COUNTIF(Vertices[PageRank], "&gt;=" &amp; P8)</f>
        <v>0</v>
      </c>
      <c r="R7" s="42">
        <f t="shared" si="8"/>
        <v>0</v>
      </c>
      <c r="S7" s="47">
        <f>COUNTIF(Vertices[Clustering Coefficient], "&gt;= " &amp; R7) - COUNTIF(Vertices[Clustering Coefficient], "&gt;=" &amp; R8)</f>
        <v>0</v>
      </c>
      <c r="T7" s="42" t="e">
        <f t="shared" ca="1" si="9"/>
        <v>#REF!</v>
      </c>
      <c r="U7" s="43" t="e">
        <f t="shared" ca="1" si="0"/>
        <v>#REF!</v>
      </c>
    </row>
    <row r="8" spans="1:24" x14ac:dyDescent="0.25">
      <c r="A8" s="37"/>
      <c r="B8" s="37"/>
      <c r="D8" s="35">
        <f t="shared" si="1"/>
        <v>0</v>
      </c>
      <c r="E8" s="3">
        <f>COUNTIF(Vertices[Degree], "&gt;= " &amp; D8) - COUNTIF(Vertices[Degree], "&gt;=" &amp; D9)</f>
        <v>0</v>
      </c>
      <c r="F8" s="40">
        <f t="shared" si="2"/>
        <v>0</v>
      </c>
      <c r="G8" s="41">
        <f>COUNTIF(Vertices[In-Degree], "&gt;= " &amp; F8) - COUNTIF(Vertices[In-Degree], "&gt;=" &amp; F9)</f>
        <v>0</v>
      </c>
      <c r="H8" s="40">
        <f t="shared" si="3"/>
        <v>0</v>
      </c>
      <c r="I8" s="41">
        <f>COUNTIF(Vertices[Out-Degree], "&gt;= " &amp; H8) - COUNTIF(Vertices[Out-Degree], "&gt;=" &amp; H9)</f>
        <v>0</v>
      </c>
      <c r="J8" s="40">
        <f t="shared" si="4"/>
        <v>0</v>
      </c>
      <c r="K8" s="41">
        <f>COUNTIF(Vertices[Betweenness Centrality], "&gt;= " &amp; J8) - COUNTIF(Vertices[Betweenness Centrality], "&gt;=" &amp; J9)</f>
        <v>0</v>
      </c>
      <c r="L8" s="40">
        <f t="shared" si="5"/>
        <v>0</v>
      </c>
      <c r="M8" s="41">
        <f>COUNTIF(Vertices[Closeness Centrality], "&gt;= " &amp; L8) - COUNTIF(Vertices[Closeness Centrality], "&gt;=" &amp; L9)</f>
        <v>0</v>
      </c>
      <c r="N8" s="40">
        <f t="shared" si="6"/>
        <v>0</v>
      </c>
      <c r="O8" s="41">
        <f>COUNTIF(Vertices[Eigenvector Centrality], "&gt;= " &amp; N8) - COUNTIF(Vertices[Eigenvector Centrality], "&gt;=" &amp; N9)</f>
        <v>0</v>
      </c>
      <c r="P8" s="40">
        <f t="shared" si="7"/>
        <v>0</v>
      </c>
      <c r="Q8" s="41">
        <f>COUNTIF(Vertices[PageRank], "&gt;= " &amp; P8) - COUNTIF(Vertices[PageRank], "&gt;=" &amp; P9)</f>
        <v>0</v>
      </c>
      <c r="R8" s="40">
        <f t="shared" si="8"/>
        <v>0</v>
      </c>
      <c r="S8" s="46">
        <f>COUNTIF(Vertices[Clustering Coefficient], "&gt;= " &amp; R8) - COUNTIF(Vertices[Clustering Coefficient], "&gt;=" &amp; R9)</f>
        <v>0</v>
      </c>
      <c r="T8" s="40" t="e">
        <f t="shared" ca="1" si="9"/>
        <v>#REF!</v>
      </c>
      <c r="U8" s="41" t="e">
        <f t="shared" ca="1" si="0"/>
        <v>#REF!</v>
      </c>
    </row>
    <row r="9" spans="1:24" x14ac:dyDescent="0.25">
      <c r="A9" s="37"/>
      <c r="B9" s="37"/>
      <c r="D9" s="35">
        <f t="shared" si="1"/>
        <v>0</v>
      </c>
      <c r="E9" s="3">
        <f>COUNTIF(Vertices[Degree], "&gt;= " &amp; D9) - COUNTIF(Vertices[Degree], "&gt;=" &amp; D10)</f>
        <v>0</v>
      </c>
      <c r="F9" s="42">
        <f t="shared" si="2"/>
        <v>0</v>
      </c>
      <c r="G9" s="43">
        <f>COUNTIF(Vertices[In-Degree], "&gt;= " &amp; F9) - COUNTIF(Vertices[In-Degree], "&gt;=" &amp; F10)</f>
        <v>0</v>
      </c>
      <c r="H9" s="42">
        <f t="shared" si="3"/>
        <v>0</v>
      </c>
      <c r="I9" s="43">
        <f>COUNTIF(Vertices[Out-Degree], "&gt;= " &amp; H9) - COUNTIF(Vertices[Out-Degree], "&gt;=" &amp; H10)</f>
        <v>0</v>
      </c>
      <c r="J9" s="42">
        <f t="shared" si="4"/>
        <v>0</v>
      </c>
      <c r="K9" s="43">
        <f>COUNTIF(Vertices[Betweenness Centrality], "&gt;= " &amp; J9) - COUNTIF(Vertices[Betweenness Centrality], "&gt;=" &amp; J10)</f>
        <v>0</v>
      </c>
      <c r="L9" s="42">
        <f t="shared" si="5"/>
        <v>0</v>
      </c>
      <c r="M9" s="43">
        <f>COUNTIF(Vertices[Closeness Centrality], "&gt;= " &amp; L9) - COUNTIF(Vertices[Closeness Centrality], "&gt;=" &amp; L10)</f>
        <v>0</v>
      </c>
      <c r="N9" s="42">
        <f t="shared" si="6"/>
        <v>0</v>
      </c>
      <c r="O9" s="43">
        <f>COUNTIF(Vertices[Eigenvector Centrality], "&gt;= " &amp; N9) - COUNTIF(Vertices[Eigenvector Centrality], "&gt;=" &amp; N10)</f>
        <v>0</v>
      </c>
      <c r="P9" s="42">
        <f t="shared" si="7"/>
        <v>0</v>
      </c>
      <c r="Q9" s="43">
        <f>COUNTIF(Vertices[PageRank], "&gt;= " &amp; P9) - COUNTIF(Vertices[PageRank], "&gt;=" &amp; P10)</f>
        <v>0</v>
      </c>
      <c r="R9" s="42">
        <f t="shared" si="8"/>
        <v>0</v>
      </c>
      <c r="S9" s="47">
        <f>COUNTIF(Vertices[Clustering Coefficient], "&gt;= " &amp; R9) - COUNTIF(Vertices[Clustering Coefficient], "&gt;=" &amp; R10)</f>
        <v>0</v>
      </c>
      <c r="T9" s="42" t="e">
        <f t="shared" ca="1" si="9"/>
        <v>#REF!</v>
      </c>
      <c r="U9" s="43" t="e">
        <f t="shared" ca="1" si="0"/>
        <v>#REF!</v>
      </c>
    </row>
    <row r="10" spans="1:24" x14ac:dyDescent="0.25">
      <c r="A10" s="37"/>
      <c r="B10" s="37"/>
      <c r="D10" s="35">
        <f t="shared" si="1"/>
        <v>0</v>
      </c>
      <c r="E10" s="3">
        <f>COUNTIF(Vertices[Degree], "&gt;= " &amp; D10) - COUNTIF(Vertices[Degree], "&gt;=" &amp; D11)</f>
        <v>0</v>
      </c>
      <c r="F10" s="40">
        <f t="shared" si="2"/>
        <v>0</v>
      </c>
      <c r="G10" s="41">
        <f>COUNTIF(Vertices[In-Degree], "&gt;= " &amp; F10) - COUNTIF(Vertices[In-Degree], "&gt;=" &amp; F11)</f>
        <v>0</v>
      </c>
      <c r="H10" s="40">
        <f t="shared" si="3"/>
        <v>0</v>
      </c>
      <c r="I10" s="41">
        <f>COUNTIF(Vertices[Out-Degree], "&gt;= " &amp; H10) - COUNTIF(Vertices[Out-Degree], "&gt;=" &amp; H11)</f>
        <v>0</v>
      </c>
      <c r="J10" s="40">
        <f t="shared" si="4"/>
        <v>0</v>
      </c>
      <c r="K10" s="41">
        <f>COUNTIF(Vertices[Betweenness Centrality], "&gt;= " &amp; J10) - COUNTIF(Vertices[Betweenness Centrality], "&gt;=" &amp; J11)</f>
        <v>0</v>
      </c>
      <c r="L10" s="40">
        <f t="shared" si="5"/>
        <v>0</v>
      </c>
      <c r="M10" s="41">
        <f>COUNTIF(Vertices[Closeness Centrality], "&gt;= " &amp; L10) - COUNTIF(Vertices[Closeness Centrality], "&gt;=" &amp; L11)</f>
        <v>0</v>
      </c>
      <c r="N10" s="40">
        <f t="shared" si="6"/>
        <v>0</v>
      </c>
      <c r="O10" s="41">
        <f>COUNTIF(Vertices[Eigenvector Centrality], "&gt;= " &amp; N10) - COUNTIF(Vertices[Eigenvector Centrality], "&gt;=" &amp; N11)</f>
        <v>0</v>
      </c>
      <c r="P10" s="40">
        <f t="shared" si="7"/>
        <v>0</v>
      </c>
      <c r="Q10" s="41">
        <f>COUNTIF(Vertices[PageRank], "&gt;= " &amp; P10) - COUNTIF(Vertices[PageRank], "&gt;=" &amp; P11)</f>
        <v>0</v>
      </c>
      <c r="R10" s="40">
        <f t="shared" si="8"/>
        <v>0</v>
      </c>
      <c r="S10" s="46">
        <f>COUNTIF(Vertices[Clustering Coefficient], "&gt;= " &amp; R10) - COUNTIF(Vertices[Clustering Coefficient], "&gt;=" &amp; R11)</f>
        <v>0</v>
      </c>
      <c r="T10" s="40" t="e">
        <f t="shared" ca="1" si="9"/>
        <v>#REF!</v>
      </c>
      <c r="U10" s="41" t="e">
        <f t="shared" ca="1" si="0"/>
        <v>#REF!</v>
      </c>
    </row>
    <row r="11" spans="1:24" x14ac:dyDescent="0.25">
      <c r="A11" s="37"/>
      <c r="B11" s="37"/>
      <c r="D11" s="35">
        <f t="shared" si="1"/>
        <v>0</v>
      </c>
      <c r="E11" s="3">
        <f>COUNTIF(Vertices[Degree], "&gt;= " &amp; D11) - COUNTIF(Vertices[Degree], "&gt;=" &amp; D12)</f>
        <v>0</v>
      </c>
      <c r="F11" s="42">
        <f t="shared" si="2"/>
        <v>0</v>
      </c>
      <c r="G11" s="43">
        <f>COUNTIF(Vertices[In-Degree], "&gt;= " &amp; F11) - COUNTIF(Vertices[In-Degree], "&gt;=" &amp; F12)</f>
        <v>0</v>
      </c>
      <c r="H11" s="42">
        <f t="shared" si="3"/>
        <v>0</v>
      </c>
      <c r="I11" s="43">
        <f>COUNTIF(Vertices[Out-Degree], "&gt;= " &amp; H11) - COUNTIF(Vertices[Out-Degree], "&gt;=" &amp; H12)</f>
        <v>0</v>
      </c>
      <c r="J11" s="42">
        <f t="shared" si="4"/>
        <v>0</v>
      </c>
      <c r="K11" s="43">
        <f>COUNTIF(Vertices[Betweenness Centrality], "&gt;= " &amp; J11) - COUNTIF(Vertices[Betweenness Centrality], "&gt;=" &amp; J12)</f>
        <v>0</v>
      </c>
      <c r="L11" s="42">
        <f t="shared" si="5"/>
        <v>0</v>
      </c>
      <c r="M11" s="43">
        <f>COUNTIF(Vertices[Closeness Centrality], "&gt;= " &amp; L11) - COUNTIF(Vertices[Closeness Centrality], "&gt;=" &amp; L12)</f>
        <v>0</v>
      </c>
      <c r="N11" s="42">
        <f t="shared" si="6"/>
        <v>0</v>
      </c>
      <c r="O11" s="43">
        <f>COUNTIF(Vertices[Eigenvector Centrality], "&gt;= " &amp; N11) - COUNTIF(Vertices[Eigenvector Centrality], "&gt;=" &amp; N12)</f>
        <v>0</v>
      </c>
      <c r="P11" s="42">
        <f t="shared" si="7"/>
        <v>0</v>
      </c>
      <c r="Q11" s="43">
        <f>COUNTIF(Vertices[PageRank], "&gt;= " &amp; P11) - COUNTIF(Vertices[PageRank], "&gt;=" &amp; P12)</f>
        <v>0</v>
      </c>
      <c r="R11" s="42">
        <f t="shared" si="8"/>
        <v>0</v>
      </c>
      <c r="S11" s="47">
        <f>COUNTIF(Vertices[Clustering Coefficient], "&gt;= " &amp; R11) - COUNTIF(Vertices[Clustering Coefficient], "&gt;=" &amp; R12)</f>
        <v>0</v>
      </c>
      <c r="T11" s="42" t="e">
        <f t="shared" ca="1" si="9"/>
        <v>#REF!</v>
      </c>
      <c r="U11" s="43" t="e">
        <f t="shared" ca="1" si="0"/>
        <v>#REF!</v>
      </c>
    </row>
    <row r="12" spans="1:24" x14ac:dyDescent="0.25">
      <c r="A12" s="37"/>
      <c r="B12" s="37"/>
      <c r="D12" s="35">
        <f t="shared" si="1"/>
        <v>0</v>
      </c>
      <c r="E12" s="3">
        <f>COUNTIF(Vertices[Degree], "&gt;= " &amp; D12) - COUNTIF(Vertices[Degree], "&gt;=" &amp; D13)</f>
        <v>0</v>
      </c>
      <c r="F12" s="40">
        <f t="shared" si="2"/>
        <v>0</v>
      </c>
      <c r="G12" s="41">
        <f>COUNTIF(Vertices[In-Degree], "&gt;= " &amp; F12) - COUNTIF(Vertices[In-Degree], "&gt;=" &amp; F13)</f>
        <v>0</v>
      </c>
      <c r="H12" s="40">
        <f t="shared" si="3"/>
        <v>0</v>
      </c>
      <c r="I12" s="41">
        <f>COUNTIF(Vertices[Out-Degree], "&gt;= " &amp; H12) - COUNTIF(Vertices[Out-Degree], "&gt;=" &amp; H13)</f>
        <v>0</v>
      </c>
      <c r="J12" s="40">
        <f t="shared" si="4"/>
        <v>0</v>
      </c>
      <c r="K12" s="41">
        <f>COUNTIF(Vertices[Betweenness Centrality], "&gt;= " &amp; J12) - COUNTIF(Vertices[Betweenness Centrality], "&gt;=" &amp; J13)</f>
        <v>0</v>
      </c>
      <c r="L12" s="40">
        <f t="shared" si="5"/>
        <v>0</v>
      </c>
      <c r="M12" s="41">
        <f>COUNTIF(Vertices[Closeness Centrality], "&gt;= " &amp; L12) - COUNTIF(Vertices[Closeness Centrality], "&gt;=" &amp; L13)</f>
        <v>0</v>
      </c>
      <c r="N12" s="40">
        <f t="shared" si="6"/>
        <v>0</v>
      </c>
      <c r="O12" s="41">
        <f>COUNTIF(Vertices[Eigenvector Centrality], "&gt;= " &amp; N12) - COUNTIF(Vertices[Eigenvector Centrality], "&gt;=" &amp; N13)</f>
        <v>0</v>
      </c>
      <c r="P12" s="40">
        <f t="shared" si="7"/>
        <v>0</v>
      </c>
      <c r="Q12" s="41">
        <f>COUNTIF(Vertices[PageRank], "&gt;= " &amp; P12) - COUNTIF(Vertices[PageRank], "&gt;=" &amp; P13)</f>
        <v>0</v>
      </c>
      <c r="R12" s="40">
        <f t="shared" si="8"/>
        <v>0</v>
      </c>
      <c r="S12" s="46">
        <f>COUNTIF(Vertices[Clustering Coefficient], "&gt;= " &amp; R12) - COUNTIF(Vertices[Clustering Coefficient], "&gt;=" &amp; R13)</f>
        <v>0</v>
      </c>
      <c r="T12" s="40" t="e">
        <f t="shared" ca="1" si="9"/>
        <v>#REF!</v>
      </c>
      <c r="U12" s="41" t="e">
        <f t="shared" ca="1" si="0"/>
        <v>#REF!</v>
      </c>
    </row>
    <row r="13" spans="1:24" x14ac:dyDescent="0.25">
      <c r="A13" s="37"/>
      <c r="B13" s="37"/>
      <c r="D13" s="35">
        <f t="shared" si="1"/>
        <v>0</v>
      </c>
      <c r="E13" s="3">
        <f>COUNTIF(Vertices[Degree], "&gt;= " &amp; D13) - COUNTIF(Vertices[Degree], "&gt;=" &amp; D14)</f>
        <v>0</v>
      </c>
      <c r="F13" s="42">
        <f t="shared" si="2"/>
        <v>0</v>
      </c>
      <c r="G13" s="43">
        <f>COUNTIF(Vertices[In-Degree], "&gt;= " &amp; F13) - COUNTIF(Vertices[In-Degree], "&gt;=" &amp; F14)</f>
        <v>0</v>
      </c>
      <c r="H13" s="42">
        <f t="shared" si="3"/>
        <v>0</v>
      </c>
      <c r="I13" s="43">
        <f>COUNTIF(Vertices[Out-Degree], "&gt;= " &amp; H13) - COUNTIF(Vertices[Out-Degree], "&gt;=" &amp; H14)</f>
        <v>0</v>
      </c>
      <c r="J13" s="42">
        <f t="shared" si="4"/>
        <v>0</v>
      </c>
      <c r="K13" s="43">
        <f>COUNTIF(Vertices[Betweenness Centrality], "&gt;= " &amp; J13) - COUNTIF(Vertices[Betweenness Centrality], "&gt;=" &amp; J14)</f>
        <v>0</v>
      </c>
      <c r="L13" s="42">
        <f t="shared" si="5"/>
        <v>0</v>
      </c>
      <c r="M13" s="43">
        <f>COUNTIF(Vertices[Closeness Centrality], "&gt;= " &amp; L13) - COUNTIF(Vertices[Closeness Centrality], "&gt;=" &amp; L14)</f>
        <v>0</v>
      </c>
      <c r="N13" s="42">
        <f t="shared" si="6"/>
        <v>0</v>
      </c>
      <c r="O13" s="43">
        <f>COUNTIF(Vertices[Eigenvector Centrality], "&gt;= " &amp; N13) - COUNTIF(Vertices[Eigenvector Centrality], "&gt;=" &amp; N14)</f>
        <v>0</v>
      </c>
      <c r="P13" s="42">
        <f t="shared" si="7"/>
        <v>0</v>
      </c>
      <c r="Q13" s="43">
        <f>COUNTIF(Vertices[PageRank], "&gt;= " &amp; P13) - COUNTIF(Vertices[PageRank], "&gt;=" &amp; P14)</f>
        <v>0</v>
      </c>
      <c r="R13" s="42">
        <f t="shared" si="8"/>
        <v>0</v>
      </c>
      <c r="S13" s="47">
        <f>COUNTIF(Vertices[Clustering Coefficient], "&gt;= " &amp; R13) - COUNTIF(Vertices[Clustering Coefficient], "&gt;=" &amp; R14)</f>
        <v>0</v>
      </c>
      <c r="T13" s="42" t="e">
        <f t="shared" ca="1" si="9"/>
        <v>#REF!</v>
      </c>
      <c r="U13" s="43" t="e">
        <f t="shared" ca="1" si="0"/>
        <v>#REF!</v>
      </c>
    </row>
    <row r="14" spans="1:24" x14ac:dyDescent="0.25">
      <c r="A14" s="37"/>
      <c r="B14" s="37"/>
      <c r="D14" s="35">
        <f t="shared" si="1"/>
        <v>0</v>
      </c>
      <c r="E14" s="3">
        <f>COUNTIF(Vertices[Degree], "&gt;= " &amp; D14) - COUNTIF(Vertices[Degree], "&gt;=" &amp; D15)</f>
        <v>0</v>
      </c>
      <c r="F14" s="40">
        <f t="shared" si="2"/>
        <v>0</v>
      </c>
      <c r="G14" s="41">
        <f>COUNTIF(Vertices[In-Degree], "&gt;= " &amp; F14) - COUNTIF(Vertices[In-Degree], "&gt;=" &amp; F15)</f>
        <v>0</v>
      </c>
      <c r="H14" s="40">
        <f t="shared" si="3"/>
        <v>0</v>
      </c>
      <c r="I14" s="41">
        <f>COUNTIF(Vertices[Out-Degree], "&gt;= " &amp; H14) - COUNTIF(Vertices[Out-Degree], "&gt;=" &amp; H15)</f>
        <v>0</v>
      </c>
      <c r="J14" s="40">
        <f t="shared" si="4"/>
        <v>0</v>
      </c>
      <c r="K14" s="41">
        <f>COUNTIF(Vertices[Betweenness Centrality], "&gt;= " &amp; J14) - COUNTIF(Vertices[Betweenness Centrality], "&gt;=" &amp; J15)</f>
        <v>0</v>
      </c>
      <c r="L14" s="40">
        <f t="shared" si="5"/>
        <v>0</v>
      </c>
      <c r="M14" s="41">
        <f>COUNTIF(Vertices[Closeness Centrality], "&gt;= " &amp; L14) - COUNTIF(Vertices[Closeness Centrality], "&gt;=" &amp; L15)</f>
        <v>0</v>
      </c>
      <c r="N14" s="40">
        <f t="shared" si="6"/>
        <v>0</v>
      </c>
      <c r="O14" s="41">
        <f>COUNTIF(Vertices[Eigenvector Centrality], "&gt;= " &amp; N14) - COUNTIF(Vertices[Eigenvector Centrality], "&gt;=" &amp; N15)</f>
        <v>0</v>
      </c>
      <c r="P14" s="40">
        <f t="shared" si="7"/>
        <v>0</v>
      </c>
      <c r="Q14" s="41">
        <f>COUNTIF(Vertices[PageRank], "&gt;= " &amp; P14) - COUNTIF(Vertices[PageRank], "&gt;=" &amp; P15)</f>
        <v>0</v>
      </c>
      <c r="R14" s="40">
        <f t="shared" si="8"/>
        <v>0</v>
      </c>
      <c r="S14" s="46">
        <f>COUNTIF(Vertices[Clustering Coefficient], "&gt;= " &amp; R14) - COUNTIF(Vertices[Clustering Coefficient], "&gt;=" &amp; R15)</f>
        <v>0</v>
      </c>
      <c r="T14" s="40" t="e">
        <f t="shared" ca="1" si="9"/>
        <v>#REF!</v>
      </c>
      <c r="U14" s="41" t="e">
        <f t="shared" ca="1" si="0"/>
        <v>#REF!</v>
      </c>
    </row>
    <row r="15" spans="1:24" x14ac:dyDescent="0.25">
      <c r="A15" s="37"/>
      <c r="B15" s="37"/>
      <c r="D15" s="35">
        <f t="shared" si="1"/>
        <v>0</v>
      </c>
      <c r="E15" s="3">
        <f>COUNTIF(Vertices[Degree], "&gt;= " &amp; D15) - COUNTIF(Vertices[Degree], "&gt;=" &amp; D16)</f>
        <v>0</v>
      </c>
      <c r="F15" s="42">
        <f t="shared" si="2"/>
        <v>0</v>
      </c>
      <c r="G15" s="43">
        <f>COUNTIF(Vertices[In-Degree], "&gt;= " &amp; F15) - COUNTIF(Vertices[In-Degree], "&gt;=" &amp; F16)</f>
        <v>0</v>
      </c>
      <c r="H15" s="42">
        <f t="shared" si="3"/>
        <v>0</v>
      </c>
      <c r="I15" s="43">
        <f>COUNTIF(Vertices[Out-Degree], "&gt;= " &amp; H15) - COUNTIF(Vertices[Out-Degree], "&gt;=" &amp; H16)</f>
        <v>0</v>
      </c>
      <c r="J15" s="42">
        <f t="shared" si="4"/>
        <v>0</v>
      </c>
      <c r="K15" s="43">
        <f>COUNTIF(Vertices[Betweenness Centrality], "&gt;= " &amp; J15) - COUNTIF(Vertices[Betweenness Centrality], "&gt;=" &amp; J16)</f>
        <v>0</v>
      </c>
      <c r="L15" s="42">
        <f t="shared" si="5"/>
        <v>0</v>
      </c>
      <c r="M15" s="43">
        <f>COUNTIF(Vertices[Closeness Centrality], "&gt;= " &amp; L15) - COUNTIF(Vertices[Closeness Centrality], "&gt;=" &amp; L16)</f>
        <v>0</v>
      </c>
      <c r="N15" s="42">
        <f t="shared" si="6"/>
        <v>0</v>
      </c>
      <c r="O15" s="43">
        <f>COUNTIF(Vertices[Eigenvector Centrality], "&gt;= " &amp; N15) - COUNTIF(Vertices[Eigenvector Centrality], "&gt;=" &amp; N16)</f>
        <v>0</v>
      </c>
      <c r="P15" s="42">
        <f t="shared" si="7"/>
        <v>0</v>
      </c>
      <c r="Q15" s="43">
        <f>COUNTIF(Vertices[PageRank], "&gt;= " &amp; P15) - COUNTIF(Vertices[PageRank], "&gt;=" &amp; P16)</f>
        <v>0</v>
      </c>
      <c r="R15" s="42">
        <f t="shared" si="8"/>
        <v>0</v>
      </c>
      <c r="S15" s="47">
        <f>COUNTIF(Vertices[Clustering Coefficient], "&gt;= " &amp; R15) - COUNTIF(Vertices[Clustering Coefficient], "&gt;=" &amp; R16)</f>
        <v>0</v>
      </c>
      <c r="T15" s="42" t="e">
        <f t="shared" ca="1" si="9"/>
        <v>#REF!</v>
      </c>
      <c r="U15" s="43" t="e">
        <f t="shared" ca="1" si="0"/>
        <v>#REF!</v>
      </c>
    </row>
    <row r="16" spans="1:24" x14ac:dyDescent="0.25">
      <c r="A16" s="37"/>
      <c r="B16" s="37"/>
      <c r="D16" s="35">
        <f t="shared" si="1"/>
        <v>0</v>
      </c>
      <c r="E16" s="3">
        <f>COUNTIF(Vertices[Degree], "&gt;= " &amp; D16) - COUNTIF(Vertices[Degree], "&gt;=" &amp; D17)</f>
        <v>0</v>
      </c>
      <c r="F16" s="40">
        <f t="shared" si="2"/>
        <v>0</v>
      </c>
      <c r="G16" s="41">
        <f>COUNTIF(Vertices[In-Degree], "&gt;= " &amp; F16) - COUNTIF(Vertices[In-Degree], "&gt;=" &amp; F17)</f>
        <v>0</v>
      </c>
      <c r="H16" s="40">
        <f t="shared" si="3"/>
        <v>0</v>
      </c>
      <c r="I16" s="41">
        <f>COUNTIF(Vertices[Out-Degree], "&gt;= " &amp; H16) - COUNTIF(Vertices[Out-Degree], "&gt;=" &amp; H17)</f>
        <v>0</v>
      </c>
      <c r="J16" s="40">
        <f t="shared" si="4"/>
        <v>0</v>
      </c>
      <c r="K16" s="41">
        <f>COUNTIF(Vertices[Betweenness Centrality], "&gt;= " &amp; J16) - COUNTIF(Vertices[Betweenness Centrality], "&gt;=" &amp; J17)</f>
        <v>0</v>
      </c>
      <c r="L16" s="40">
        <f t="shared" si="5"/>
        <v>0</v>
      </c>
      <c r="M16" s="41">
        <f>COUNTIF(Vertices[Closeness Centrality], "&gt;= " &amp; L16) - COUNTIF(Vertices[Closeness Centrality], "&gt;=" &amp; L17)</f>
        <v>0</v>
      </c>
      <c r="N16" s="40">
        <f t="shared" si="6"/>
        <v>0</v>
      </c>
      <c r="O16" s="41">
        <f>COUNTIF(Vertices[Eigenvector Centrality], "&gt;= " &amp; N16) - COUNTIF(Vertices[Eigenvector Centrality], "&gt;=" &amp; N17)</f>
        <v>0</v>
      </c>
      <c r="P16" s="40">
        <f t="shared" si="7"/>
        <v>0</v>
      </c>
      <c r="Q16" s="41">
        <f>COUNTIF(Vertices[PageRank], "&gt;= " &amp; P16) - COUNTIF(Vertices[PageRank], "&gt;=" &amp; P17)</f>
        <v>0</v>
      </c>
      <c r="R16" s="40">
        <f t="shared" si="8"/>
        <v>0</v>
      </c>
      <c r="S16" s="46">
        <f>COUNTIF(Vertices[Clustering Coefficient], "&gt;= " &amp; R16) - COUNTIF(Vertices[Clustering Coefficient], "&gt;=" &amp; R17)</f>
        <v>0</v>
      </c>
      <c r="T16" s="40" t="e">
        <f t="shared" ca="1" si="9"/>
        <v>#REF!</v>
      </c>
      <c r="U16" s="41" t="e">
        <f t="shared" ca="1" si="0"/>
        <v>#REF!</v>
      </c>
    </row>
    <row r="17" spans="1:21" x14ac:dyDescent="0.25">
      <c r="A17" s="37"/>
      <c r="B17" s="37"/>
      <c r="D17" s="35">
        <f t="shared" si="1"/>
        <v>0</v>
      </c>
      <c r="E17" s="3">
        <f>COUNTIF(Vertices[Degree], "&gt;= " &amp; D17) - COUNTIF(Vertices[Degree], "&gt;=" &amp; D18)</f>
        <v>0</v>
      </c>
      <c r="F17" s="42">
        <f t="shared" si="2"/>
        <v>0</v>
      </c>
      <c r="G17" s="43">
        <f>COUNTIF(Vertices[In-Degree], "&gt;= " &amp; F17) - COUNTIF(Vertices[In-Degree], "&gt;=" &amp; F18)</f>
        <v>0</v>
      </c>
      <c r="H17" s="42">
        <f t="shared" si="3"/>
        <v>0</v>
      </c>
      <c r="I17" s="43">
        <f>COUNTIF(Vertices[Out-Degree], "&gt;= " &amp; H17) - COUNTIF(Vertices[Out-Degree], "&gt;=" &amp; H18)</f>
        <v>0</v>
      </c>
      <c r="J17" s="42">
        <f t="shared" si="4"/>
        <v>0</v>
      </c>
      <c r="K17" s="43">
        <f>COUNTIF(Vertices[Betweenness Centrality], "&gt;= " &amp; J17) - COUNTIF(Vertices[Betweenness Centrality], "&gt;=" &amp; J18)</f>
        <v>0</v>
      </c>
      <c r="L17" s="42">
        <f t="shared" si="5"/>
        <v>0</v>
      </c>
      <c r="M17" s="43">
        <f>COUNTIF(Vertices[Closeness Centrality], "&gt;= " &amp; L17) - COUNTIF(Vertices[Closeness Centrality], "&gt;=" &amp; L18)</f>
        <v>0</v>
      </c>
      <c r="N17" s="42">
        <f t="shared" si="6"/>
        <v>0</v>
      </c>
      <c r="O17" s="43">
        <f>COUNTIF(Vertices[Eigenvector Centrality], "&gt;= " &amp; N17) - COUNTIF(Vertices[Eigenvector Centrality], "&gt;=" &amp; N18)</f>
        <v>0</v>
      </c>
      <c r="P17" s="42">
        <f t="shared" si="7"/>
        <v>0</v>
      </c>
      <c r="Q17" s="43">
        <f>COUNTIF(Vertices[PageRank], "&gt;= " &amp; P17) - COUNTIF(Vertices[PageRank], "&gt;=" &amp; P18)</f>
        <v>0</v>
      </c>
      <c r="R17" s="42">
        <f t="shared" si="8"/>
        <v>0</v>
      </c>
      <c r="S17" s="47">
        <f>COUNTIF(Vertices[Clustering Coefficient], "&gt;= " &amp; R17) - COUNTIF(Vertices[Clustering Coefficient], "&gt;=" &amp; R18)</f>
        <v>0</v>
      </c>
      <c r="T17" s="42" t="e">
        <f t="shared" ca="1" si="9"/>
        <v>#REF!</v>
      </c>
      <c r="U17" s="43" t="e">
        <f t="shared" ca="1" si="0"/>
        <v>#REF!</v>
      </c>
    </row>
    <row r="18" spans="1:21" x14ac:dyDescent="0.25">
      <c r="A18" s="37"/>
      <c r="B18" s="37"/>
      <c r="D18" s="35">
        <f t="shared" si="1"/>
        <v>0</v>
      </c>
      <c r="E18" s="3">
        <f>COUNTIF(Vertices[Degree], "&gt;= " &amp; D18) - COUNTIF(Vertices[Degree], "&gt;=" &amp; D19)</f>
        <v>0</v>
      </c>
      <c r="F18" s="40">
        <f t="shared" si="2"/>
        <v>0</v>
      </c>
      <c r="G18" s="41">
        <f>COUNTIF(Vertices[In-Degree], "&gt;= " &amp; F18) - COUNTIF(Vertices[In-Degree], "&gt;=" &amp; F19)</f>
        <v>0</v>
      </c>
      <c r="H18" s="40">
        <f t="shared" si="3"/>
        <v>0</v>
      </c>
      <c r="I18" s="41">
        <f>COUNTIF(Vertices[Out-Degree], "&gt;= " &amp; H18) - COUNTIF(Vertices[Out-Degree], "&gt;=" &amp; H19)</f>
        <v>0</v>
      </c>
      <c r="J18" s="40">
        <f t="shared" si="4"/>
        <v>0</v>
      </c>
      <c r="K18" s="41">
        <f>COUNTIF(Vertices[Betweenness Centrality], "&gt;= " &amp; J18) - COUNTIF(Vertices[Betweenness Centrality], "&gt;=" &amp; J19)</f>
        <v>0</v>
      </c>
      <c r="L18" s="40">
        <f t="shared" si="5"/>
        <v>0</v>
      </c>
      <c r="M18" s="41">
        <f>COUNTIF(Vertices[Closeness Centrality], "&gt;= " &amp; L18) - COUNTIF(Vertices[Closeness Centrality], "&gt;=" &amp; L19)</f>
        <v>0</v>
      </c>
      <c r="N18" s="40">
        <f t="shared" si="6"/>
        <v>0</v>
      </c>
      <c r="O18" s="41">
        <f>COUNTIF(Vertices[Eigenvector Centrality], "&gt;= " &amp; N18) - COUNTIF(Vertices[Eigenvector Centrality], "&gt;=" &amp; N19)</f>
        <v>0</v>
      </c>
      <c r="P18" s="40">
        <f t="shared" si="7"/>
        <v>0</v>
      </c>
      <c r="Q18" s="41">
        <f>COUNTIF(Vertices[PageRank], "&gt;= " &amp; P18) - COUNTIF(Vertices[PageRank], "&gt;=" &amp; P19)</f>
        <v>0</v>
      </c>
      <c r="R18" s="40">
        <f t="shared" si="8"/>
        <v>0</v>
      </c>
      <c r="S18" s="46">
        <f>COUNTIF(Vertices[Clustering Coefficient], "&gt;= " &amp; R18) - COUNTIF(Vertices[Clustering Coefficient], "&gt;=" &amp; R19)</f>
        <v>0</v>
      </c>
      <c r="T18" s="40" t="e">
        <f t="shared" ca="1" si="9"/>
        <v>#REF!</v>
      </c>
      <c r="U18" s="41" t="e">
        <f t="shared" ca="1" si="0"/>
        <v>#REF!</v>
      </c>
    </row>
    <row r="19" spans="1:21" x14ac:dyDescent="0.25">
      <c r="A19" s="37"/>
      <c r="B19" s="37"/>
      <c r="D19" s="35">
        <f t="shared" si="1"/>
        <v>0</v>
      </c>
      <c r="E19" s="3">
        <f>COUNTIF(Vertices[Degree], "&gt;= " &amp; D19) - COUNTIF(Vertices[Degree], "&gt;=" &amp; D20)</f>
        <v>0</v>
      </c>
      <c r="F19" s="42">
        <f t="shared" si="2"/>
        <v>0</v>
      </c>
      <c r="G19" s="43">
        <f>COUNTIF(Vertices[In-Degree], "&gt;= " &amp; F19) - COUNTIF(Vertices[In-Degree], "&gt;=" &amp; F20)</f>
        <v>0</v>
      </c>
      <c r="H19" s="42">
        <f t="shared" si="3"/>
        <v>0</v>
      </c>
      <c r="I19" s="43">
        <f>COUNTIF(Vertices[Out-Degree], "&gt;= " &amp; H19) - COUNTIF(Vertices[Out-Degree], "&gt;=" &amp; H20)</f>
        <v>0</v>
      </c>
      <c r="J19" s="42">
        <f t="shared" si="4"/>
        <v>0</v>
      </c>
      <c r="K19" s="43">
        <f>COUNTIF(Vertices[Betweenness Centrality], "&gt;= " &amp; J19) - COUNTIF(Vertices[Betweenness Centrality], "&gt;=" &amp; J20)</f>
        <v>0</v>
      </c>
      <c r="L19" s="42">
        <f t="shared" si="5"/>
        <v>0</v>
      </c>
      <c r="M19" s="43">
        <f>COUNTIF(Vertices[Closeness Centrality], "&gt;= " &amp; L19) - COUNTIF(Vertices[Closeness Centrality], "&gt;=" &amp; L20)</f>
        <v>0</v>
      </c>
      <c r="N19" s="42">
        <f t="shared" si="6"/>
        <v>0</v>
      </c>
      <c r="O19" s="43">
        <f>COUNTIF(Vertices[Eigenvector Centrality], "&gt;= " &amp; N19) - COUNTIF(Vertices[Eigenvector Centrality], "&gt;=" &amp; N20)</f>
        <v>0</v>
      </c>
      <c r="P19" s="42">
        <f t="shared" si="7"/>
        <v>0</v>
      </c>
      <c r="Q19" s="43">
        <f>COUNTIF(Vertices[PageRank], "&gt;= " &amp; P19) - COUNTIF(Vertices[PageRank], "&gt;=" &amp; P20)</f>
        <v>0</v>
      </c>
      <c r="R19" s="42">
        <f t="shared" si="8"/>
        <v>0</v>
      </c>
      <c r="S19" s="47">
        <f>COUNTIF(Vertices[Clustering Coefficient], "&gt;= " &amp; R19) - COUNTIF(Vertices[Clustering Coefficient], "&gt;=" &amp; R20)</f>
        <v>0</v>
      </c>
      <c r="T19" s="42" t="e">
        <f t="shared" ca="1" si="9"/>
        <v>#REF!</v>
      </c>
      <c r="U19" s="43" t="e">
        <f t="shared" ca="1" si="0"/>
        <v>#REF!</v>
      </c>
    </row>
    <row r="20" spans="1:21" x14ac:dyDescent="0.25">
      <c r="A20" s="37"/>
      <c r="B20" s="37"/>
      <c r="D20" s="35">
        <f t="shared" si="1"/>
        <v>0</v>
      </c>
      <c r="E20" s="3">
        <f>COUNTIF(Vertices[Degree], "&gt;= " &amp; D20) - COUNTIF(Vertices[Degree], "&gt;=" &amp; D21)</f>
        <v>0</v>
      </c>
      <c r="F20" s="40">
        <f t="shared" si="2"/>
        <v>0</v>
      </c>
      <c r="G20" s="41">
        <f>COUNTIF(Vertices[In-Degree], "&gt;= " &amp; F20) - COUNTIF(Vertices[In-Degree], "&gt;=" &amp; F21)</f>
        <v>0</v>
      </c>
      <c r="H20" s="40">
        <f t="shared" si="3"/>
        <v>0</v>
      </c>
      <c r="I20" s="41">
        <f>COUNTIF(Vertices[Out-Degree], "&gt;= " &amp; H20) - COUNTIF(Vertices[Out-Degree], "&gt;=" &amp; H21)</f>
        <v>0</v>
      </c>
      <c r="J20" s="40">
        <f t="shared" si="4"/>
        <v>0</v>
      </c>
      <c r="K20" s="41">
        <f>COUNTIF(Vertices[Betweenness Centrality], "&gt;= " &amp; J20) - COUNTIF(Vertices[Betweenness Centrality], "&gt;=" &amp; J21)</f>
        <v>0</v>
      </c>
      <c r="L20" s="40">
        <f t="shared" si="5"/>
        <v>0</v>
      </c>
      <c r="M20" s="41">
        <f>COUNTIF(Vertices[Closeness Centrality], "&gt;= " &amp; L20) - COUNTIF(Vertices[Closeness Centrality], "&gt;=" &amp; L21)</f>
        <v>0</v>
      </c>
      <c r="N20" s="40">
        <f t="shared" si="6"/>
        <v>0</v>
      </c>
      <c r="O20" s="41">
        <f>COUNTIF(Vertices[Eigenvector Centrality], "&gt;= " &amp; N20) - COUNTIF(Vertices[Eigenvector Centrality], "&gt;=" &amp; N21)</f>
        <v>0</v>
      </c>
      <c r="P20" s="40">
        <f t="shared" si="7"/>
        <v>0</v>
      </c>
      <c r="Q20" s="41">
        <f>COUNTIF(Vertices[PageRank], "&gt;= " &amp; P20) - COUNTIF(Vertices[PageRank], "&gt;=" &amp; P21)</f>
        <v>0</v>
      </c>
      <c r="R20" s="40">
        <f t="shared" si="8"/>
        <v>0</v>
      </c>
      <c r="S20" s="46">
        <f>COUNTIF(Vertices[Clustering Coefficient], "&gt;= " &amp; R20) - COUNTIF(Vertices[Clustering Coefficient], "&gt;=" &amp; R21)</f>
        <v>0</v>
      </c>
      <c r="T20" s="40" t="e">
        <f t="shared" ca="1" si="9"/>
        <v>#REF!</v>
      </c>
      <c r="U20" s="41" t="e">
        <f t="shared" ca="1" si="0"/>
        <v>#REF!</v>
      </c>
    </row>
    <row r="21" spans="1:21" x14ac:dyDescent="0.25">
      <c r="A21" s="37"/>
      <c r="B21" s="37"/>
      <c r="D21" s="35">
        <f t="shared" si="1"/>
        <v>0</v>
      </c>
      <c r="E21" s="3">
        <f>COUNTIF(Vertices[Degree], "&gt;= " &amp; D21) - COUNTIF(Vertices[Degree], "&gt;=" &amp; D22)</f>
        <v>0</v>
      </c>
      <c r="F21" s="42">
        <f t="shared" si="2"/>
        <v>0</v>
      </c>
      <c r="G21" s="43">
        <f>COUNTIF(Vertices[In-Degree], "&gt;= " &amp; F21) - COUNTIF(Vertices[In-Degree], "&gt;=" &amp; F22)</f>
        <v>0</v>
      </c>
      <c r="H21" s="42">
        <f t="shared" si="3"/>
        <v>0</v>
      </c>
      <c r="I21" s="43">
        <f>COUNTIF(Vertices[Out-Degree], "&gt;= " &amp; H21) - COUNTIF(Vertices[Out-Degree], "&gt;=" &amp; H22)</f>
        <v>0</v>
      </c>
      <c r="J21" s="42">
        <f t="shared" si="4"/>
        <v>0</v>
      </c>
      <c r="K21" s="43">
        <f>COUNTIF(Vertices[Betweenness Centrality], "&gt;= " &amp; J21) - COUNTIF(Vertices[Betweenness Centrality], "&gt;=" &amp; J22)</f>
        <v>0</v>
      </c>
      <c r="L21" s="42">
        <f t="shared" si="5"/>
        <v>0</v>
      </c>
      <c r="M21" s="43">
        <f>COUNTIF(Vertices[Closeness Centrality], "&gt;= " &amp; L21) - COUNTIF(Vertices[Closeness Centrality], "&gt;=" &amp; L22)</f>
        <v>0</v>
      </c>
      <c r="N21" s="42">
        <f t="shared" si="6"/>
        <v>0</v>
      </c>
      <c r="O21" s="43">
        <f>COUNTIF(Vertices[Eigenvector Centrality], "&gt;= " &amp; N21) - COUNTIF(Vertices[Eigenvector Centrality], "&gt;=" &amp; N22)</f>
        <v>0</v>
      </c>
      <c r="P21" s="42">
        <f t="shared" si="7"/>
        <v>0</v>
      </c>
      <c r="Q21" s="43">
        <f>COUNTIF(Vertices[PageRank], "&gt;= " &amp; P21) - COUNTIF(Vertices[PageRank], "&gt;=" &amp; P22)</f>
        <v>0</v>
      </c>
      <c r="R21" s="42">
        <f t="shared" si="8"/>
        <v>0</v>
      </c>
      <c r="S21" s="47">
        <f>COUNTIF(Vertices[Clustering Coefficient], "&gt;= " &amp; R21) - COUNTIF(Vertices[Clustering Coefficient], "&gt;=" &amp; R22)</f>
        <v>0</v>
      </c>
      <c r="T21" s="42" t="e">
        <f t="shared" ca="1" si="9"/>
        <v>#REF!</v>
      </c>
      <c r="U21" s="43" t="e">
        <f t="shared" ca="1" si="0"/>
        <v>#REF!</v>
      </c>
    </row>
    <row r="22" spans="1:21" x14ac:dyDescent="0.25">
      <c r="A22" s="37"/>
      <c r="B22" s="37"/>
      <c r="D22" s="35">
        <f t="shared" si="1"/>
        <v>0</v>
      </c>
      <c r="E22" s="3">
        <f>COUNTIF(Vertices[Degree], "&gt;= " &amp; D22) - COUNTIF(Vertices[Degree], "&gt;=" &amp; D23)</f>
        <v>0</v>
      </c>
      <c r="F22" s="40">
        <f t="shared" si="2"/>
        <v>0</v>
      </c>
      <c r="G22" s="41">
        <f>COUNTIF(Vertices[In-Degree], "&gt;= " &amp; F22) - COUNTIF(Vertices[In-Degree], "&gt;=" &amp; F23)</f>
        <v>0</v>
      </c>
      <c r="H22" s="40">
        <f t="shared" si="3"/>
        <v>0</v>
      </c>
      <c r="I22" s="41">
        <f>COUNTIF(Vertices[Out-Degree], "&gt;= " &amp; H22) - COUNTIF(Vertices[Out-Degree], "&gt;=" &amp; H23)</f>
        <v>0</v>
      </c>
      <c r="J22" s="40">
        <f t="shared" si="4"/>
        <v>0</v>
      </c>
      <c r="K22" s="41">
        <f>COUNTIF(Vertices[Betweenness Centrality], "&gt;= " &amp; J22) - COUNTIF(Vertices[Betweenness Centrality], "&gt;=" &amp; J23)</f>
        <v>0</v>
      </c>
      <c r="L22" s="40">
        <f t="shared" si="5"/>
        <v>0</v>
      </c>
      <c r="M22" s="41">
        <f>COUNTIF(Vertices[Closeness Centrality], "&gt;= " &amp; L22) - COUNTIF(Vertices[Closeness Centrality], "&gt;=" &amp; L23)</f>
        <v>0</v>
      </c>
      <c r="N22" s="40">
        <f t="shared" si="6"/>
        <v>0</v>
      </c>
      <c r="O22" s="41">
        <f>COUNTIF(Vertices[Eigenvector Centrality], "&gt;= " &amp; N22) - COUNTIF(Vertices[Eigenvector Centrality], "&gt;=" &amp; N23)</f>
        <v>0</v>
      </c>
      <c r="P22" s="40">
        <f t="shared" si="7"/>
        <v>0</v>
      </c>
      <c r="Q22" s="41">
        <f>COUNTIF(Vertices[PageRank], "&gt;= " &amp; P22) - COUNTIF(Vertices[PageRank], "&gt;=" &amp; P23)</f>
        <v>0</v>
      </c>
      <c r="R22" s="40">
        <f t="shared" si="8"/>
        <v>0</v>
      </c>
      <c r="S22" s="46">
        <f>COUNTIF(Vertices[Clustering Coefficient], "&gt;= " &amp; R22) - COUNTIF(Vertices[Clustering Coefficient], "&gt;=" &amp; R23)</f>
        <v>0</v>
      </c>
      <c r="T22" s="40" t="e">
        <f t="shared" ca="1" si="9"/>
        <v>#REF!</v>
      </c>
      <c r="U22" s="41" t="e">
        <f t="shared" ca="1" si="0"/>
        <v>#REF!</v>
      </c>
    </row>
    <row r="23" spans="1:21" x14ac:dyDescent="0.25">
      <c r="D23" s="35">
        <f t="shared" si="1"/>
        <v>0</v>
      </c>
      <c r="E23" s="3">
        <f>COUNTIF(Vertices[Degree], "&gt;= " &amp; D23) - COUNTIF(Vertices[Degree], "&gt;=" &amp; D24)</f>
        <v>0</v>
      </c>
      <c r="F23" s="42">
        <f t="shared" si="2"/>
        <v>0</v>
      </c>
      <c r="G23" s="43">
        <f>COUNTIF(Vertices[In-Degree], "&gt;= " &amp; F23) - COUNTIF(Vertices[In-Degree], "&gt;=" &amp; F24)</f>
        <v>0</v>
      </c>
      <c r="H23" s="42">
        <f t="shared" si="3"/>
        <v>0</v>
      </c>
      <c r="I23" s="43">
        <f>COUNTIF(Vertices[Out-Degree], "&gt;= " &amp; H23) - COUNTIF(Vertices[Out-Degree], "&gt;=" &amp; H24)</f>
        <v>0</v>
      </c>
      <c r="J23" s="42">
        <f t="shared" si="4"/>
        <v>0</v>
      </c>
      <c r="K23" s="43">
        <f>COUNTIF(Vertices[Betweenness Centrality], "&gt;= " &amp; J23) - COUNTIF(Vertices[Betweenness Centrality], "&gt;=" &amp; J24)</f>
        <v>0</v>
      </c>
      <c r="L23" s="42">
        <f t="shared" si="5"/>
        <v>0</v>
      </c>
      <c r="M23" s="43">
        <f>COUNTIF(Vertices[Closeness Centrality], "&gt;= " &amp; L23) - COUNTIF(Vertices[Closeness Centrality], "&gt;=" &amp; L24)</f>
        <v>0</v>
      </c>
      <c r="N23" s="42">
        <f t="shared" si="6"/>
        <v>0</v>
      </c>
      <c r="O23" s="43">
        <f>COUNTIF(Vertices[Eigenvector Centrality], "&gt;= " &amp; N23) - COUNTIF(Vertices[Eigenvector Centrality], "&gt;=" &amp; N24)</f>
        <v>0</v>
      </c>
      <c r="P23" s="42">
        <f t="shared" si="7"/>
        <v>0</v>
      </c>
      <c r="Q23" s="43">
        <f>COUNTIF(Vertices[PageRank], "&gt;= " &amp; P23) - COUNTIF(Vertices[PageRank], "&gt;=" &amp; P24)</f>
        <v>0</v>
      </c>
      <c r="R23" s="42">
        <f t="shared" si="8"/>
        <v>0</v>
      </c>
      <c r="S23" s="47">
        <f>COUNTIF(Vertices[Clustering Coefficient], "&gt;= " &amp; R23) - COUNTIF(Vertices[Clustering Coefficient], "&gt;=" &amp; R24)</f>
        <v>0</v>
      </c>
      <c r="T23" s="42" t="e">
        <f t="shared" ca="1" si="9"/>
        <v>#REF!</v>
      </c>
      <c r="U23" s="43" t="e">
        <f t="shared" ca="1" si="0"/>
        <v>#REF!</v>
      </c>
    </row>
    <row r="24" spans="1:21" x14ac:dyDescent="0.25">
      <c r="D24" s="35">
        <f t="shared" si="1"/>
        <v>0</v>
      </c>
      <c r="E24" s="3">
        <f>COUNTIF(Vertices[Degree], "&gt;= " &amp; D24) - COUNTIF(Vertices[Degree], "&gt;=" &amp; D25)</f>
        <v>0</v>
      </c>
      <c r="F24" s="40">
        <f t="shared" si="2"/>
        <v>0</v>
      </c>
      <c r="G24" s="41">
        <f>COUNTIF(Vertices[In-Degree], "&gt;= " &amp; F24) - COUNTIF(Vertices[In-Degree], "&gt;=" &amp; F25)</f>
        <v>0</v>
      </c>
      <c r="H24" s="40">
        <f t="shared" si="3"/>
        <v>0</v>
      </c>
      <c r="I24" s="41">
        <f>COUNTIF(Vertices[Out-Degree], "&gt;= " &amp; H24) - COUNTIF(Vertices[Out-Degree], "&gt;=" &amp; H25)</f>
        <v>0</v>
      </c>
      <c r="J24" s="40">
        <f t="shared" si="4"/>
        <v>0</v>
      </c>
      <c r="K24" s="41">
        <f>COUNTIF(Vertices[Betweenness Centrality], "&gt;= " &amp; J24) - COUNTIF(Vertices[Betweenness Centrality], "&gt;=" &amp; J25)</f>
        <v>0</v>
      </c>
      <c r="L24" s="40">
        <f t="shared" si="5"/>
        <v>0</v>
      </c>
      <c r="M24" s="41">
        <f>COUNTIF(Vertices[Closeness Centrality], "&gt;= " &amp; L24) - COUNTIF(Vertices[Closeness Centrality], "&gt;=" &amp; L25)</f>
        <v>0</v>
      </c>
      <c r="N24" s="40">
        <f t="shared" si="6"/>
        <v>0</v>
      </c>
      <c r="O24" s="41">
        <f>COUNTIF(Vertices[Eigenvector Centrality], "&gt;= " &amp; N24) - COUNTIF(Vertices[Eigenvector Centrality], "&gt;=" &amp; N25)</f>
        <v>0</v>
      </c>
      <c r="P24" s="40">
        <f t="shared" si="7"/>
        <v>0</v>
      </c>
      <c r="Q24" s="41">
        <f>COUNTIF(Vertices[PageRank], "&gt;= " &amp; P24) - COUNTIF(Vertices[PageRank], "&gt;=" &amp; P25)</f>
        <v>0</v>
      </c>
      <c r="R24" s="40">
        <f t="shared" si="8"/>
        <v>0</v>
      </c>
      <c r="S24" s="46">
        <f>COUNTIF(Vertices[Clustering Coefficient], "&gt;= " &amp; R24) - COUNTIF(Vertices[Clustering Coefficient], "&gt;=" &amp; R25)</f>
        <v>0</v>
      </c>
      <c r="T24" s="40" t="e">
        <f t="shared" ca="1" si="9"/>
        <v>#REF!</v>
      </c>
      <c r="U24" s="41" t="e">
        <f t="shared" ca="1" si="0"/>
        <v>#REF!</v>
      </c>
    </row>
    <row r="25" spans="1:21" x14ac:dyDescent="0.25">
      <c r="A25" t="s">
        <v>178</v>
      </c>
      <c r="B25" t="s">
        <v>17</v>
      </c>
      <c r="D25" s="35">
        <f t="shared" si="1"/>
        <v>0</v>
      </c>
      <c r="E25" s="3">
        <f>COUNTIF(Vertices[Degree], "&gt;= " &amp; D25) - COUNTIF(Vertices[Degree], "&gt;=" &amp; D26)</f>
        <v>0</v>
      </c>
      <c r="F25" s="42">
        <f t="shared" si="2"/>
        <v>0</v>
      </c>
      <c r="G25" s="43">
        <f>COUNTIF(Vertices[In-Degree], "&gt;= " &amp; F25) - COUNTIF(Vertices[In-Degree], "&gt;=" &amp; F26)</f>
        <v>0</v>
      </c>
      <c r="H25" s="42">
        <f t="shared" si="3"/>
        <v>0</v>
      </c>
      <c r="I25" s="43">
        <f>COUNTIF(Vertices[Out-Degree], "&gt;= " &amp; H25) - COUNTIF(Vertices[Out-Degree], "&gt;=" &amp; H26)</f>
        <v>0</v>
      </c>
      <c r="J25" s="42">
        <f t="shared" si="4"/>
        <v>0</v>
      </c>
      <c r="K25" s="43">
        <f>COUNTIF(Vertices[Betweenness Centrality], "&gt;= " &amp; J25) - COUNTIF(Vertices[Betweenness Centrality], "&gt;=" &amp; J26)</f>
        <v>0</v>
      </c>
      <c r="L25" s="42">
        <f t="shared" si="5"/>
        <v>0</v>
      </c>
      <c r="M25" s="43">
        <f>COUNTIF(Vertices[Closeness Centrality], "&gt;= " &amp; L25) - COUNTIF(Vertices[Closeness Centrality], "&gt;=" &amp; L26)</f>
        <v>0</v>
      </c>
      <c r="N25" s="42">
        <f t="shared" si="6"/>
        <v>0</v>
      </c>
      <c r="O25" s="43">
        <f>COUNTIF(Vertices[Eigenvector Centrality], "&gt;= " &amp; N25) - COUNTIF(Vertices[Eigenvector Centrality], "&gt;=" &amp; N26)</f>
        <v>0</v>
      </c>
      <c r="P25" s="42">
        <f t="shared" si="7"/>
        <v>0</v>
      </c>
      <c r="Q25" s="43">
        <f>COUNTIF(Vertices[PageRank], "&gt;= " &amp; P25) - COUNTIF(Vertices[PageRank], "&gt;=" &amp; P26)</f>
        <v>0</v>
      </c>
      <c r="R25" s="42">
        <f t="shared" si="8"/>
        <v>0</v>
      </c>
      <c r="S25" s="47">
        <f>COUNTIF(Vertices[Clustering Coefficient], "&gt;= " &amp; R25) - COUNTIF(Vertices[Clustering Coefficient], "&gt;=" &amp; R26)</f>
        <v>0</v>
      </c>
      <c r="T25" s="42" t="e">
        <f t="shared" ca="1" si="9"/>
        <v>#REF!</v>
      </c>
      <c r="U25" s="43" t="e">
        <f t="shared" ca="1" si="0"/>
        <v>#REF!</v>
      </c>
    </row>
    <row r="26" spans="1:21" x14ac:dyDescent="0.25">
      <c r="A26" s="36"/>
      <c r="B26" s="36"/>
      <c r="D26" s="35">
        <f t="shared" si="1"/>
        <v>0</v>
      </c>
      <c r="E26" s="3">
        <f>COUNTIF(Vertices[Degree], "&gt;= " &amp; D26) - COUNTIF(Vertices[Degree], "&gt;=" &amp; D27)</f>
        <v>0</v>
      </c>
      <c r="F26" s="40">
        <f t="shared" si="2"/>
        <v>0</v>
      </c>
      <c r="G26" s="41">
        <f>COUNTIF(Vertices[In-Degree], "&gt;= " &amp; F26) - COUNTIF(Vertices[In-Degree], "&gt;=" &amp; F27)</f>
        <v>0</v>
      </c>
      <c r="H26" s="40">
        <f t="shared" si="3"/>
        <v>0</v>
      </c>
      <c r="I26" s="41">
        <f>COUNTIF(Vertices[Out-Degree], "&gt;= " &amp; H26) - COUNTIF(Vertices[Out-Degree], "&gt;=" &amp; H27)</f>
        <v>0</v>
      </c>
      <c r="J26" s="40">
        <f t="shared" si="4"/>
        <v>0</v>
      </c>
      <c r="K26" s="41">
        <f>COUNTIF(Vertices[Betweenness Centrality], "&gt;= " &amp; J26) - COUNTIF(Vertices[Betweenness Centrality], "&gt;=" &amp; J27)</f>
        <v>0</v>
      </c>
      <c r="L26" s="40">
        <f t="shared" si="5"/>
        <v>0</v>
      </c>
      <c r="M26" s="41">
        <f>COUNTIF(Vertices[Closeness Centrality], "&gt;= " &amp; L26) - COUNTIF(Vertices[Closeness Centrality], "&gt;=" &amp; L27)</f>
        <v>0</v>
      </c>
      <c r="N26" s="40">
        <f t="shared" si="6"/>
        <v>0</v>
      </c>
      <c r="O26" s="41">
        <f>COUNTIF(Vertices[Eigenvector Centrality], "&gt;= " &amp; N26) - COUNTIF(Vertices[Eigenvector Centrality], "&gt;=" &amp; N27)</f>
        <v>0</v>
      </c>
      <c r="P26" s="40">
        <f t="shared" si="7"/>
        <v>0</v>
      </c>
      <c r="Q26" s="41">
        <f>COUNTIF(Vertices[PageRank], "&gt;= " &amp; P26) - COUNTIF(Vertices[PageRank], "&gt;=" &amp; P27)</f>
        <v>0</v>
      </c>
      <c r="R26" s="40">
        <f t="shared" si="8"/>
        <v>0</v>
      </c>
      <c r="S26" s="46">
        <f>COUNTIF(Vertices[Clustering Coefficient], "&gt;= " &amp; R26) - COUNTIF(Vertices[Clustering Coefficient], "&gt;=" &amp; R27)</f>
        <v>0</v>
      </c>
      <c r="T26" s="40" t="e">
        <f t="shared" ca="1" si="9"/>
        <v>#REF!</v>
      </c>
      <c r="U26" s="41" t="e">
        <f t="shared" ca="1" si="0"/>
        <v>#REF!</v>
      </c>
    </row>
    <row r="27" spans="1:21" x14ac:dyDescent="0.25">
      <c r="A27" s="36"/>
      <c r="B27" s="36"/>
      <c r="D27" s="35">
        <f t="shared" si="1"/>
        <v>0</v>
      </c>
      <c r="E27" s="3">
        <f>COUNTIF(Vertices[Degree], "&gt;= " &amp; D27) - COUNTIF(Vertices[Degree], "&gt;=" &amp; D28)</f>
        <v>0</v>
      </c>
      <c r="F27" s="42">
        <f t="shared" si="2"/>
        <v>0</v>
      </c>
      <c r="G27" s="43">
        <f>COUNTIF(Vertices[In-Degree], "&gt;= " &amp; F27) - COUNTIF(Vertices[In-Degree], "&gt;=" &amp; F28)</f>
        <v>0</v>
      </c>
      <c r="H27" s="42">
        <f t="shared" si="3"/>
        <v>0</v>
      </c>
      <c r="I27" s="43">
        <f>COUNTIF(Vertices[Out-Degree], "&gt;= " &amp; H27) - COUNTIF(Vertices[Out-Degree], "&gt;=" &amp; H28)</f>
        <v>0</v>
      </c>
      <c r="J27" s="42">
        <f t="shared" si="4"/>
        <v>0</v>
      </c>
      <c r="K27" s="43">
        <f>COUNTIF(Vertices[Betweenness Centrality], "&gt;= " &amp; J27) - COUNTIF(Vertices[Betweenness Centrality], "&gt;=" &amp; J28)</f>
        <v>0</v>
      </c>
      <c r="L27" s="42">
        <f t="shared" si="5"/>
        <v>0</v>
      </c>
      <c r="M27" s="43">
        <f>COUNTIF(Vertices[Closeness Centrality], "&gt;= " &amp; L27) - COUNTIF(Vertices[Closeness Centrality], "&gt;=" &amp; L28)</f>
        <v>0</v>
      </c>
      <c r="N27" s="42">
        <f t="shared" si="6"/>
        <v>0</v>
      </c>
      <c r="O27" s="43">
        <f>COUNTIF(Vertices[Eigenvector Centrality], "&gt;= " &amp; N27) - COUNTIF(Vertices[Eigenvector Centrality], "&gt;=" &amp; N28)</f>
        <v>0</v>
      </c>
      <c r="P27" s="42">
        <f t="shared" si="7"/>
        <v>0</v>
      </c>
      <c r="Q27" s="43">
        <f>COUNTIF(Vertices[PageRank], "&gt;= " &amp; P27) - COUNTIF(Vertices[PageRank], "&gt;=" &amp; P28)</f>
        <v>0</v>
      </c>
      <c r="R27" s="42">
        <f t="shared" si="8"/>
        <v>0</v>
      </c>
      <c r="S27" s="47">
        <f>COUNTIF(Vertices[Clustering Coefficient], "&gt;= " &amp; R27) - COUNTIF(Vertices[Clustering Coefficient], "&gt;=" &amp; R28)</f>
        <v>0</v>
      </c>
      <c r="T27" s="42" t="e">
        <f t="shared" ca="1" si="9"/>
        <v>#REF!</v>
      </c>
      <c r="U27" s="43" t="e">
        <f t="shared" ca="1" si="0"/>
        <v>#REF!</v>
      </c>
    </row>
    <row r="28" spans="1:21" x14ac:dyDescent="0.25">
      <c r="D28" s="35">
        <f t="shared" si="1"/>
        <v>0</v>
      </c>
      <c r="E28" s="3">
        <f>COUNTIF(Vertices[Degree], "&gt;= " &amp; D28) - COUNTIF(Vertices[Degree], "&gt;=" &amp; D29)</f>
        <v>0</v>
      </c>
      <c r="F28" s="40">
        <f t="shared" si="2"/>
        <v>0</v>
      </c>
      <c r="G28" s="41">
        <f>COUNTIF(Vertices[In-Degree], "&gt;= " &amp; F28) - COUNTIF(Vertices[In-Degree], "&gt;=" &amp; F29)</f>
        <v>0</v>
      </c>
      <c r="H28" s="40">
        <f t="shared" si="3"/>
        <v>0</v>
      </c>
      <c r="I28" s="41">
        <f>COUNTIF(Vertices[Out-Degree], "&gt;= " &amp; H28) - COUNTIF(Vertices[Out-Degree], "&gt;=" &amp; H29)</f>
        <v>0</v>
      </c>
      <c r="J28" s="40">
        <f t="shared" si="4"/>
        <v>0</v>
      </c>
      <c r="K28" s="41">
        <f>COUNTIF(Vertices[Betweenness Centrality], "&gt;= " &amp; J28) - COUNTIF(Vertices[Betweenness Centrality], "&gt;=" &amp; J29)</f>
        <v>0</v>
      </c>
      <c r="L28" s="40">
        <f t="shared" si="5"/>
        <v>0</v>
      </c>
      <c r="M28" s="41">
        <f>COUNTIF(Vertices[Closeness Centrality], "&gt;= " &amp; L28) - COUNTIF(Vertices[Closeness Centrality], "&gt;=" &amp; L29)</f>
        <v>0</v>
      </c>
      <c r="N28" s="40">
        <f t="shared" si="6"/>
        <v>0</v>
      </c>
      <c r="O28" s="41">
        <f>COUNTIF(Vertices[Eigenvector Centrality], "&gt;= " &amp; N28) - COUNTIF(Vertices[Eigenvector Centrality], "&gt;=" &amp; N29)</f>
        <v>0</v>
      </c>
      <c r="P28" s="40">
        <f t="shared" si="7"/>
        <v>0</v>
      </c>
      <c r="Q28" s="41">
        <f>COUNTIF(Vertices[PageRank], "&gt;= " &amp; P28) - COUNTIF(Vertices[PageRank], "&gt;=" &amp; P29)</f>
        <v>0</v>
      </c>
      <c r="R28" s="40">
        <f t="shared" si="8"/>
        <v>0</v>
      </c>
      <c r="S28" s="46">
        <f>COUNTIF(Vertices[Clustering Coefficient], "&gt;= " &amp; R28) - COUNTIF(Vertices[Clustering Coefficient], "&gt;=" &amp; R29)</f>
        <v>0</v>
      </c>
      <c r="T28" s="40" t="e">
        <f t="shared" ca="1" si="9"/>
        <v>#REF!</v>
      </c>
      <c r="U28" s="41" t="e">
        <f t="shared" ca="1" si="0"/>
        <v>#REF!</v>
      </c>
    </row>
    <row r="29" spans="1:21" x14ac:dyDescent="0.25">
      <c r="D29" s="35">
        <f t="shared" si="1"/>
        <v>0</v>
      </c>
      <c r="E29" s="3">
        <f>COUNTIF(Vertices[Degree], "&gt;= " &amp; D29) - COUNTIF(Vertices[Degree], "&gt;=" &amp; D30)</f>
        <v>0</v>
      </c>
      <c r="F29" s="42">
        <f t="shared" si="2"/>
        <v>0</v>
      </c>
      <c r="G29" s="43">
        <f>COUNTIF(Vertices[In-Degree], "&gt;= " &amp; F29) - COUNTIF(Vertices[In-Degree], "&gt;=" &amp; F30)</f>
        <v>0</v>
      </c>
      <c r="H29" s="42">
        <f t="shared" si="3"/>
        <v>0</v>
      </c>
      <c r="I29" s="43">
        <f>COUNTIF(Vertices[Out-Degree], "&gt;= " &amp; H29) - COUNTIF(Vertices[Out-Degree], "&gt;=" &amp; H30)</f>
        <v>0</v>
      </c>
      <c r="J29" s="42">
        <f t="shared" si="4"/>
        <v>0</v>
      </c>
      <c r="K29" s="43">
        <f>COUNTIF(Vertices[Betweenness Centrality], "&gt;= " &amp; J29) - COUNTIF(Vertices[Betweenness Centrality], "&gt;=" &amp; J30)</f>
        <v>0</v>
      </c>
      <c r="L29" s="42">
        <f t="shared" si="5"/>
        <v>0</v>
      </c>
      <c r="M29" s="43">
        <f>COUNTIF(Vertices[Closeness Centrality], "&gt;= " &amp; L29) - COUNTIF(Vertices[Closeness Centrality], "&gt;=" &amp; L30)</f>
        <v>0</v>
      </c>
      <c r="N29" s="42">
        <f t="shared" si="6"/>
        <v>0</v>
      </c>
      <c r="O29" s="43">
        <f>COUNTIF(Vertices[Eigenvector Centrality], "&gt;= " &amp; N29) - COUNTIF(Vertices[Eigenvector Centrality], "&gt;=" &amp; N30)</f>
        <v>0</v>
      </c>
      <c r="P29" s="42">
        <f t="shared" si="7"/>
        <v>0</v>
      </c>
      <c r="Q29" s="43">
        <f>COUNTIF(Vertices[PageRank], "&gt;= " &amp; P29) - COUNTIF(Vertices[PageRank], "&gt;=" &amp; P30)</f>
        <v>0</v>
      </c>
      <c r="R29" s="42">
        <f t="shared" si="8"/>
        <v>0</v>
      </c>
      <c r="S29" s="47">
        <f>COUNTIF(Vertices[Clustering Coefficient], "&gt;= " &amp; R29) - COUNTIF(Vertices[Clustering Coefficient], "&gt;=" &amp; R30)</f>
        <v>0</v>
      </c>
      <c r="T29" s="42" t="e">
        <f t="shared" ca="1" si="9"/>
        <v>#REF!</v>
      </c>
      <c r="U29" s="43" t="e">
        <f t="shared" ca="1" si="0"/>
        <v>#REF!</v>
      </c>
    </row>
    <row r="30" spans="1:21" x14ac:dyDescent="0.25">
      <c r="D30" s="35">
        <f t="shared" si="1"/>
        <v>0</v>
      </c>
      <c r="E30" s="3">
        <f>COUNTIF(Vertices[Degree], "&gt;= " &amp; D30) - COUNTIF(Vertices[Degree], "&gt;=" &amp; D31)</f>
        <v>0</v>
      </c>
      <c r="F30" s="40">
        <f t="shared" si="2"/>
        <v>0</v>
      </c>
      <c r="G30" s="41">
        <f>COUNTIF(Vertices[In-Degree], "&gt;= " &amp; F30) - COUNTIF(Vertices[In-Degree], "&gt;=" &amp; F31)</f>
        <v>0</v>
      </c>
      <c r="H30" s="40">
        <f t="shared" si="3"/>
        <v>0</v>
      </c>
      <c r="I30" s="41">
        <f>COUNTIF(Vertices[Out-Degree], "&gt;= " &amp; H30) - COUNTIF(Vertices[Out-Degree], "&gt;=" &amp; H31)</f>
        <v>0</v>
      </c>
      <c r="J30" s="40">
        <f t="shared" si="4"/>
        <v>0</v>
      </c>
      <c r="K30" s="41">
        <f>COUNTIF(Vertices[Betweenness Centrality], "&gt;= " &amp; J30) - COUNTIF(Vertices[Betweenness Centrality], "&gt;=" &amp; J31)</f>
        <v>0</v>
      </c>
      <c r="L30" s="40">
        <f t="shared" si="5"/>
        <v>0</v>
      </c>
      <c r="M30" s="41">
        <f>COUNTIF(Vertices[Closeness Centrality], "&gt;= " &amp; L30) - COUNTIF(Vertices[Closeness Centrality], "&gt;=" &amp; L31)</f>
        <v>0</v>
      </c>
      <c r="N30" s="40">
        <f t="shared" si="6"/>
        <v>0</v>
      </c>
      <c r="O30" s="41">
        <f>COUNTIF(Vertices[Eigenvector Centrality], "&gt;= " &amp; N30) - COUNTIF(Vertices[Eigenvector Centrality], "&gt;=" &amp; N31)</f>
        <v>0</v>
      </c>
      <c r="P30" s="40">
        <f t="shared" si="7"/>
        <v>0</v>
      </c>
      <c r="Q30" s="41">
        <f>COUNTIF(Vertices[PageRank], "&gt;= " &amp; P30) - COUNTIF(Vertices[PageRank], "&gt;=" &amp; P31)</f>
        <v>0</v>
      </c>
      <c r="R30" s="40">
        <f t="shared" si="8"/>
        <v>0</v>
      </c>
      <c r="S30" s="46">
        <f>COUNTIF(Vertices[Clustering Coefficient], "&gt;= " &amp; R30) - COUNTIF(Vertices[Clustering Coefficient], "&gt;=" &amp; R31)</f>
        <v>0</v>
      </c>
      <c r="T30" s="40" t="e">
        <f t="shared" ca="1" si="9"/>
        <v>#REF!</v>
      </c>
      <c r="U30" s="41" t="e">
        <f t="shared" ca="1" si="0"/>
        <v>#REF!</v>
      </c>
    </row>
    <row r="31" spans="1:21" x14ac:dyDescent="0.25">
      <c r="D31" s="35">
        <f t="shared" si="1"/>
        <v>0</v>
      </c>
      <c r="E31" s="3">
        <f>COUNTIF(Vertices[Degree], "&gt;= " &amp; D31) - COUNTIF(Vertices[Degree], "&gt;=" &amp; D32)</f>
        <v>0</v>
      </c>
      <c r="F31" s="42">
        <f t="shared" si="2"/>
        <v>0</v>
      </c>
      <c r="G31" s="43">
        <f>COUNTIF(Vertices[In-Degree], "&gt;= " &amp; F31) - COUNTIF(Vertices[In-Degree], "&gt;=" &amp; F32)</f>
        <v>0</v>
      </c>
      <c r="H31" s="42">
        <f t="shared" si="3"/>
        <v>0</v>
      </c>
      <c r="I31" s="43">
        <f>COUNTIF(Vertices[Out-Degree], "&gt;= " &amp; H31) - COUNTIF(Vertices[Out-Degree], "&gt;=" &amp; H32)</f>
        <v>0</v>
      </c>
      <c r="J31" s="42">
        <f t="shared" si="4"/>
        <v>0</v>
      </c>
      <c r="K31" s="43">
        <f>COUNTIF(Vertices[Betweenness Centrality], "&gt;= " &amp; J31) - COUNTIF(Vertices[Betweenness Centrality], "&gt;=" &amp; J32)</f>
        <v>0</v>
      </c>
      <c r="L31" s="42">
        <f t="shared" si="5"/>
        <v>0</v>
      </c>
      <c r="M31" s="43">
        <f>COUNTIF(Vertices[Closeness Centrality], "&gt;= " &amp; L31) - COUNTIF(Vertices[Closeness Centrality], "&gt;=" &amp; L32)</f>
        <v>0</v>
      </c>
      <c r="N31" s="42">
        <f t="shared" si="6"/>
        <v>0</v>
      </c>
      <c r="O31" s="43">
        <f>COUNTIF(Vertices[Eigenvector Centrality], "&gt;= " &amp; N31) - COUNTIF(Vertices[Eigenvector Centrality], "&gt;=" &amp; N32)</f>
        <v>0</v>
      </c>
      <c r="P31" s="42">
        <f t="shared" si="7"/>
        <v>0</v>
      </c>
      <c r="Q31" s="43">
        <f>COUNTIF(Vertices[PageRank], "&gt;= " &amp; P31) - COUNTIF(Vertices[PageRank], "&gt;=" &amp; P32)</f>
        <v>0</v>
      </c>
      <c r="R31" s="42">
        <f t="shared" si="8"/>
        <v>0</v>
      </c>
      <c r="S31" s="47">
        <f>COUNTIF(Vertices[Clustering Coefficient], "&gt;= " &amp; R31) - COUNTIF(Vertices[Clustering Coefficient], "&gt;=" &amp; R32)</f>
        <v>0</v>
      </c>
      <c r="T31" s="42" t="e">
        <f t="shared" ca="1" si="9"/>
        <v>#REF!</v>
      </c>
      <c r="U31" s="43" t="e">
        <f t="shared" ca="1" si="0"/>
        <v>#REF!</v>
      </c>
    </row>
    <row r="32" spans="1:21" x14ac:dyDescent="0.25">
      <c r="D32" s="35">
        <f t="shared" si="1"/>
        <v>0</v>
      </c>
      <c r="E32" s="3">
        <f>COUNTIF(Vertices[Degree], "&gt;= " &amp; D32) - COUNTIF(Vertices[Degree], "&gt;=" &amp; D33)</f>
        <v>0</v>
      </c>
      <c r="F32" s="40">
        <f t="shared" si="2"/>
        <v>0</v>
      </c>
      <c r="G32" s="41">
        <f>COUNTIF(Vertices[In-Degree], "&gt;= " &amp; F32) - COUNTIF(Vertices[In-Degree], "&gt;=" &amp; F33)</f>
        <v>0</v>
      </c>
      <c r="H32" s="40">
        <f t="shared" si="3"/>
        <v>0</v>
      </c>
      <c r="I32" s="41">
        <f>COUNTIF(Vertices[Out-Degree], "&gt;= " &amp; H32) - COUNTIF(Vertices[Out-Degree], "&gt;=" &amp; H33)</f>
        <v>0</v>
      </c>
      <c r="J32" s="40">
        <f t="shared" si="4"/>
        <v>0</v>
      </c>
      <c r="K32" s="41">
        <f>COUNTIF(Vertices[Betweenness Centrality], "&gt;= " &amp; J32) - COUNTIF(Vertices[Betweenness Centrality], "&gt;=" &amp; J33)</f>
        <v>0</v>
      </c>
      <c r="L32" s="40">
        <f t="shared" si="5"/>
        <v>0</v>
      </c>
      <c r="M32" s="41">
        <f>COUNTIF(Vertices[Closeness Centrality], "&gt;= " &amp; L32) - COUNTIF(Vertices[Closeness Centrality], "&gt;=" &amp; L33)</f>
        <v>0</v>
      </c>
      <c r="N32" s="40">
        <f t="shared" si="6"/>
        <v>0</v>
      </c>
      <c r="O32" s="41">
        <f>COUNTIF(Vertices[Eigenvector Centrality], "&gt;= " &amp; N32) - COUNTIF(Vertices[Eigenvector Centrality], "&gt;=" &amp; N33)</f>
        <v>0</v>
      </c>
      <c r="P32" s="40">
        <f t="shared" si="7"/>
        <v>0</v>
      </c>
      <c r="Q32" s="41">
        <f>COUNTIF(Vertices[PageRank], "&gt;= " &amp; P32) - COUNTIF(Vertices[PageRank], "&gt;=" &amp; P33)</f>
        <v>0</v>
      </c>
      <c r="R32" s="40">
        <f t="shared" si="8"/>
        <v>0</v>
      </c>
      <c r="S32" s="46">
        <f>COUNTIF(Vertices[Clustering Coefficient], "&gt;= " &amp; R32) - COUNTIF(Vertices[Clustering Coefficient], "&gt;=" &amp; R33)</f>
        <v>0</v>
      </c>
      <c r="T32" s="40" t="e">
        <f t="shared" ca="1" si="9"/>
        <v>#REF!</v>
      </c>
      <c r="U32" s="41" t="e">
        <f t="shared" ca="1" si="0"/>
        <v>#REF!</v>
      </c>
    </row>
    <row r="33" spans="1:21" x14ac:dyDescent="0.25">
      <c r="D33" s="35">
        <f t="shared" si="1"/>
        <v>0</v>
      </c>
      <c r="E33" s="3">
        <f>COUNTIF(Vertices[Degree], "&gt;= " &amp; D33) - COUNTIF(Vertices[Degree], "&gt;=" &amp; D34)</f>
        <v>0</v>
      </c>
      <c r="F33" s="42">
        <f t="shared" si="2"/>
        <v>0</v>
      </c>
      <c r="G33" s="43">
        <f>COUNTIF(Vertices[In-Degree], "&gt;= " &amp; F33) - COUNTIF(Vertices[In-Degree], "&gt;=" &amp; F34)</f>
        <v>0</v>
      </c>
      <c r="H33" s="42">
        <f t="shared" si="3"/>
        <v>0</v>
      </c>
      <c r="I33" s="43">
        <f>COUNTIF(Vertices[Out-Degree], "&gt;= " &amp; H33) - COUNTIF(Vertices[Out-Degree], "&gt;=" &amp; H34)</f>
        <v>0</v>
      </c>
      <c r="J33" s="42">
        <f t="shared" si="4"/>
        <v>0</v>
      </c>
      <c r="K33" s="43">
        <f>COUNTIF(Vertices[Betweenness Centrality], "&gt;= " &amp; J33) - COUNTIF(Vertices[Betweenness Centrality], "&gt;=" &amp; J34)</f>
        <v>0</v>
      </c>
      <c r="L33" s="42">
        <f t="shared" si="5"/>
        <v>0</v>
      </c>
      <c r="M33" s="43">
        <f>COUNTIF(Vertices[Closeness Centrality], "&gt;= " &amp; L33) - COUNTIF(Vertices[Closeness Centrality], "&gt;=" &amp; L34)</f>
        <v>0</v>
      </c>
      <c r="N33" s="42">
        <f t="shared" si="6"/>
        <v>0</v>
      </c>
      <c r="O33" s="43">
        <f>COUNTIF(Vertices[Eigenvector Centrality], "&gt;= " &amp; N33) - COUNTIF(Vertices[Eigenvector Centrality], "&gt;=" &amp; N34)</f>
        <v>0</v>
      </c>
      <c r="P33" s="42">
        <f t="shared" si="7"/>
        <v>0</v>
      </c>
      <c r="Q33" s="43">
        <f>COUNTIF(Vertices[PageRank], "&gt;= " &amp; P33) - COUNTIF(Vertices[PageRank], "&gt;=" &amp; P34)</f>
        <v>0</v>
      </c>
      <c r="R33" s="42">
        <f t="shared" si="8"/>
        <v>0</v>
      </c>
      <c r="S33" s="47">
        <f>COUNTIF(Vertices[Clustering Coefficient], "&gt;= " &amp; R33) - COUNTIF(Vertices[Clustering Coefficient], "&gt;=" &amp; R34)</f>
        <v>0</v>
      </c>
      <c r="T33" s="42" t="e">
        <f t="shared" ca="1" si="9"/>
        <v>#REF!</v>
      </c>
      <c r="U33" s="43" t="e">
        <f t="shared" ca="1" si="0"/>
        <v>#REF!</v>
      </c>
    </row>
    <row r="34" spans="1:21" x14ac:dyDescent="0.25">
      <c r="D34" s="35">
        <f t="shared" si="1"/>
        <v>0</v>
      </c>
      <c r="E34" s="3">
        <f>COUNTIF(Vertices[Degree], "&gt;= " &amp; D34) - COUNTIF(Vertices[Degree], "&gt;=" &amp; D35)</f>
        <v>0</v>
      </c>
      <c r="F34" s="40">
        <f t="shared" si="2"/>
        <v>0</v>
      </c>
      <c r="G34" s="41">
        <f>COUNTIF(Vertices[In-Degree], "&gt;= " &amp; F34) - COUNTIF(Vertices[In-Degree], "&gt;=" &amp; F35)</f>
        <v>0</v>
      </c>
      <c r="H34" s="40">
        <f t="shared" si="3"/>
        <v>0</v>
      </c>
      <c r="I34" s="41">
        <f>COUNTIF(Vertices[Out-Degree], "&gt;= " &amp; H34) - COUNTIF(Vertices[Out-Degree], "&gt;=" &amp; H35)</f>
        <v>0</v>
      </c>
      <c r="J34" s="40">
        <f t="shared" si="4"/>
        <v>0</v>
      </c>
      <c r="K34" s="41">
        <f>COUNTIF(Vertices[Betweenness Centrality], "&gt;= " &amp; J34) - COUNTIF(Vertices[Betweenness Centrality], "&gt;=" &amp; J35)</f>
        <v>0</v>
      </c>
      <c r="L34" s="40">
        <f t="shared" si="5"/>
        <v>0</v>
      </c>
      <c r="M34" s="41">
        <f>COUNTIF(Vertices[Closeness Centrality], "&gt;= " &amp; L34) - COUNTIF(Vertices[Closeness Centrality], "&gt;=" &amp; L35)</f>
        <v>0</v>
      </c>
      <c r="N34" s="40">
        <f t="shared" si="6"/>
        <v>0</v>
      </c>
      <c r="O34" s="41">
        <f>COUNTIF(Vertices[Eigenvector Centrality], "&gt;= " &amp; N34) - COUNTIF(Vertices[Eigenvector Centrality], "&gt;=" &amp; N35)</f>
        <v>0</v>
      </c>
      <c r="P34" s="40">
        <f t="shared" si="7"/>
        <v>0</v>
      </c>
      <c r="Q34" s="41">
        <f>COUNTIF(Vertices[PageRank], "&gt;= " &amp; P34) - COUNTIF(Vertices[PageRank], "&gt;=" &amp; P35)</f>
        <v>0</v>
      </c>
      <c r="R34" s="40">
        <f t="shared" si="8"/>
        <v>0</v>
      </c>
      <c r="S34" s="46">
        <f>COUNTIF(Vertices[Clustering Coefficient], "&gt;= " &amp; R34) - COUNTIF(Vertices[Clustering Coefficient], "&gt;=" &amp; R35)</f>
        <v>0</v>
      </c>
      <c r="T34" s="40" t="e">
        <f t="shared" ca="1" si="9"/>
        <v>#REF!</v>
      </c>
      <c r="U34" s="41" t="e">
        <f t="shared" ca="1" si="0"/>
        <v>#REF!</v>
      </c>
    </row>
    <row r="35" spans="1:21" x14ac:dyDescent="0.25">
      <c r="D35" s="35">
        <f t="shared" si="1"/>
        <v>0</v>
      </c>
      <c r="E35" s="3">
        <f>COUNTIF(Vertices[Degree], "&gt;= " &amp; D35) - COUNTIF(Vertices[Degree], "&gt;=" &amp; D36)</f>
        <v>0</v>
      </c>
      <c r="F35" s="42">
        <f t="shared" si="2"/>
        <v>0</v>
      </c>
      <c r="G35" s="43">
        <f>COUNTIF(Vertices[In-Degree], "&gt;= " &amp; F35) - COUNTIF(Vertices[In-Degree], "&gt;=" &amp; F36)</f>
        <v>0</v>
      </c>
      <c r="H35" s="42">
        <f t="shared" si="3"/>
        <v>0</v>
      </c>
      <c r="I35" s="43">
        <f>COUNTIF(Vertices[Out-Degree], "&gt;= " &amp; H35) - COUNTIF(Vertices[Out-Degree], "&gt;=" &amp; H36)</f>
        <v>0</v>
      </c>
      <c r="J35" s="42">
        <f t="shared" si="4"/>
        <v>0</v>
      </c>
      <c r="K35" s="43">
        <f>COUNTIF(Vertices[Betweenness Centrality], "&gt;= " &amp; J35) - COUNTIF(Vertices[Betweenness Centrality], "&gt;=" &amp; J36)</f>
        <v>0</v>
      </c>
      <c r="L35" s="42">
        <f t="shared" si="5"/>
        <v>0</v>
      </c>
      <c r="M35" s="43">
        <f>COUNTIF(Vertices[Closeness Centrality], "&gt;= " &amp; L35) - COUNTIF(Vertices[Closeness Centrality], "&gt;=" &amp; L36)</f>
        <v>0</v>
      </c>
      <c r="N35" s="42">
        <f t="shared" si="6"/>
        <v>0</v>
      </c>
      <c r="O35" s="43">
        <f>COUNTIF(Vertices[Eigenvector Centrality], "&gt;= " &amp; N35) - COUNTIF(Vertices[Eigenvector Centrality], "&gt;=" &amp; N36)</f>
        <v>0</v>
      </c>
      <c r="P35" s="42">
        <f t="shared" si="7"/>
        <v>0</v>
      </c>
      <c r="Q35" s="43">
        <f>COUNTIF(Vertices[PageRank], "&gt;= " &amp; P35) - COUNTIF(Vertices[PageRank], "&gt;=" &amp; P36)</f>
        <v>0</v>
      </c>
      <c r="R35" s="42">
        <f t="shared" si="8"/>
        <v>0</v>
      </c>
      <c r="S35" s="47">
        <f>COUNTIF(Vertices[Clustering Coefficient], "&gt;= " &amp; R35) - COUNTIF(Vertices[Clustering Coefficient], "&gt;=" &amp; R36)</f>
        <v>0</v>
      </c>
      <c r="T35" s="42" t="e">
        <f t="shared" ca="1" si="9"/>
        <v>#REF!</v>
      </c>
      <c r="U35" s="43" t="e">
        <f t="shared" ca="1" si="0"/>
        <v>#REF!</v>
      </c>
    </row>
    <row r="36" spans="1:21" x14ac:dyDescent="0.25">
      <c r="D36" s="35">
        <f t="shared" si="1"/>
        <v>0</v>
      </c>
      <c r="E36" s="3">
        <f>COUNTIF(Vertices[Degree], "&gt;= " &amp; D36) - COUNTIF(Vertices[Degree], "&gt;=" &amp; D37)</f>
        <v>0</v>
      </c>
      <c r="F36" s="40">
        <f t="shared" si="2"/>
        <v>0</v>
      </c>
      <c r="G36" s="41">
        <f>COUNTIF(Vertices[In-Degree], "&gt;= " &amp; F36) - COUNTIF(Vertices[In-Degree], "&gt;=" &amp; F37)</f>
        <v>0</v>
      </c>
      <c r="H36" s="40">
        <f t="shared" si="3"/>
        <v>0</v>
      </c>
      <c r="I36" s="41">
        <f>COUNTIF(Vertices[Out-Degree], "&gt;= " &amp; H36) - COUNTIF(Vertices[Out-Degree], "&gt;=" &amp; H37)</f>
        <v>0</v>
      </c>
      <c r="J36" s="40">
        <f t="shared" si="4"/>
        <v>0</v>
      </c>
      <c r="K36" s="41">
        <f>COUNTIF(Vertices[Betweenness Centrality], "&gt;= " &amp; J36) - COUNTIF(Vertices[Betweenness Centrality], "&gt;=" &amp; J37)</f>
        <v>0</v>
      </c>
      <c r="L36" s="40">
        <f t="shared" si="5"/>
        <v>0</v>
      </c>
      <c r="M36" s="41">
        <f>COUNTIF(Vertices[Closeness Centrality], "&gt;= " &amp; L36) - COUNTIF(Vertices[Closeness Centrality], "&gt;=" &amp; L37)</f>
        <v>0</v>
      </c>
      <c r="N36" s="40">
        <f t="shared" si="6"/>
        <v>0</v>
      </c>
      <c r="O36" s="41">
        <f>COUNTIF(Vertices[Eigenvector Centrality], "&gt;= " &amp; N36) - COUNTIF(Vertices[Eigenvector Centrality], "&gt;=" &amp; N37)</f>
        <v>0</v>
      </c>
      <c r="P36" s="40">
        <f t="shared" si="7"/>
        <v>0</v>
      </c>
      <c r="Q36" s="41">
        <f>COUNTIF(Vertices[PageRank], "&gt;= " &amp; P36) - COUNTIF(Vertices[PageRank], "&gt;=" &amp; P37)</f>
        <v>0</v>
      </c>
      <c r="R36" s="40">
        <f t="shared" si="8"/>
        <v>0</v>
      </c>
      <c r="S36" s="46">
        <f>COUNTIF(Vertices[Clustering Coefficient], "&gt;= " &amp; R36) - COUNTIF(Vertices[Clustering Coefficient], "&gt;=" &amp; R37)</f>
        <v>0</v>
      </c>
      <c r="T36" s="40" t="e">
        <f t="shared" ca="1" si="9"/>
        <v>#REF!</v>
      </c>
      <c r="U36" s="41" t="e">
        <f t="shared" ca="1" si="0"/>
        <v>#REF!</v>
      </c>
    </row>
    <row r="37" spans="1:21" x14ac:dyDescent="0.25">
      <c r="D37" s="35">
        <f t="shared" si="1"/>
        <v>0</v>
      </c>
      <c r="E37" s="3">
        <f>COUNTIF(Vertices[Degree], "&gt;= " &amp; D37) - COUNTIF(Vertices[Degree], "&gt;=" &amp; D38)</f>
        <v>0</v>
      </c>
      <c r="F37" s="42">
        <f t="shared" si="2"/>
        <v>0</v>
      </c>
      <c r="G37" s="43">
        <f>COUNTIF(Vertices[In-Degree], "&gt;= " &amp; F37) - COUNTIF(Vertices[In-Degree], "&gt;=" &amp; F38)</f>
        <v>0</v>
      </c>
      <c r="H37" s="42">
        <f t="shared" si="3"/>
        <v>0</v>
      </c>
      <c r="I37" s="43">
        <f>COUNTIF(Vertices[Out-Degree], "&gt;= " &amp; H37) - COUNTIF(Vertices[Out-Degree], "&gt;=" &amp; H38)</f>
        <v>0</v>
      </c>
      <c r="J37" s="42">
        <f t="shared" si="4"/>
        <v>0</v>
      </c>
      <c r="K37" s="43">
        <f>COUNTIF(Vertices[Betweenness Centrality], "&gt;= " &amp; J37) - COUNTIF(Vertices[Betweenness Centrality], "&gt;=" &amp; J38)</f>
        <v>0</v>
      </c>
      <c r="L37" s="42">
        <f t="shared" si="5"/>
        <v>0</v>
      </c>
      <c r="M37" s="43">
        <f>COUNTIF(Vertices[Closeness Centrality], "&gt;= " &amp; L37) - COUNTIF(Vertices[Closeness Centrality], "&gt;=" &amp; L38)</f>
        <v>0</v>
      </c>
      <c r="N37" s="42">
        <f t="shared" si="6"/>
        <v>0</v>
      </c>
      <c r="O37" s="43">
        <f>COUNTIF(Vertices[Eigenvector Centrality], "&gt;= " &amp; N37) - COUNTIF(Vertices[Eigenvector Centrality], "&gt;=" &amp; N38)</f>
        <v>0</v>
      </c>
      <c r="P37" s="42">
        <f t="shared" si="7"/>
        <v>0</v>
      </c>
      <c r="Q37" s="43">
        <f>COUNTIF(Vertices[PageRank], "&gt;= " &amp; P37) - COUNTIF(Vertices[PageRank], "&gt;=" &amp; P38)</f>
        <v>0</v>
      </c>
      <c r="R37" s="42">
        <f t="shared" si="8"/>
        <v>0</v>
      </c>
      <c r="S37" s="47">
        <f>COUNTIF(Vertices[Clustering Coefficient], "&gt;= " &amp; R37) - COUNTIF(Vertices[Clustering Coefficient], "&gt;=" &amp; R38)</f>
        <v>0</v>
      </c>
      <c r="T37" s="42" t="e">
        <f t="shared" ca="1" si="9"/>
        <v>#REF!</v>
      </c>
      <c r="U37" s="43" t="e">
        <f t="shared" ca="1" si="0"/>
        <v>#REF!</v>
      </c>
    </row>
    <row r="38" spans="1:21" x14ac:dyDescent="0.25">
      <c r="A38" s="36" t="s">
        <v>93</v>
      </c>
      <c r="B38" s="49" t="str">
        <f>IF(COUNT(Vertices[Degree])&gt;0, D2, NoMetricMessage)</f>
        <v>Not Available</v>
      </c>
      <c r="D38" s="35">
        <f t="shared" si="1"/>
        <v>0</v>
      </c>
      <c r="E38" s="3">
        <f>COUNTIF(Vertices[Degree], "&gt;= " &amp; D38) - COUNTIF(Vertices[Degree], "&gt;=" &amp; D39)</f>
        <v>0</v>
      </c>
      <c r="F38" s="40">
        <f t="shared" si="2"/>
        <v>0</v>
      </c>
      <c r="G38" s="41">
        <f>COUNTIF(Vertices[In-Degree], "&gt;= " &amp; F38) - COUNTIF(Vertices[In-Degree], "&gt;=" &amp; F39)</f>
        <v>0</v>
      </c>
      <c r="H38" s="40">
        <f t="shared" si="3"/>
        <v>0</v>
      </c>
      <c r="I38" s="41">
        <f>COUNTIF(Vertices[Out-Degree], "&gt;= " &amp; H38) - COUNTIF(Vertices[Out-Degree], "&gt;=" &amp; H39)</f>
        <v>0</v>
      </c>
      <c r="J38" s="40">
        <f t="shared" si="4"/>
        <v>0</v>
      </c>
      <c r="K38" s="41">
        <f>COUNTIF(Vertices[Betweenness Centrality], "&gt;= " &amp; J38) - COUNTIF(Vertices[Betweenness Centrality], "&gt;=" &amp; J39)</f>
        <v>0</v>
      </c>
      <c r="L38" s="40">
        <f t="shared" si="5"/>
        <v>0</v>
      </c>
      <c r="M38" s="41">
        <f>COUNTIF(Vertices[Closeness Centrality], "&gt;= " &amp; L38) - COUNTIF(Vertices[Closeness Centrality], "&gt;=" &amp; L39)</f>
        <v>0</v>
      </c>
      <c r="N38" s="40">
        <f t="shared" si="6"/>
        <v>0</v>
      </c>
      <c r="O38" s="41">
        <f>COUNTIF(Vertices[Eigenvector Centrality], "&gt;= " &amp; N38) - COUNTIF(Vertices[Eigenvector Centrality], "&gt;=" &amp; N39)</f>
        <v>0</v>
      </c>
      <c r="P38" s="40">
        <f t="shared" si="7"/>
        <v>0</v>
      </c>
      <c r="Q38" s="41">
        <f>COUNTIF(Vertices[PageRank], "&gt;= " &amp; P38) - COUNTIF(Vertices[PageRank], "&gt;=" &amp; P39)</f>
        <v>0</v>
      </c>
      <c r="R38" s="40">
        <f t="shared" si="8"/>
        <v>0</v>
      </c>
      <c r="S38" s="46">
        <f>COUNTIF(Vertices[Clustering Coefficient], "&gt;= " &amp; R38) - COUNTIF(Vertices[Clustering Coefficient], "&gt;=" &amp; R39)</f>
        <v>0</v>
      </c>
      <c r="T38" s="40" t="e">
        <f t="shared" ca="1" si="9"/>
        <v>#REF!</v>
      </c>
      <c r="U38" s="41" t="e">
        <f t="shared" ca="1" si="0"/>
        <v>#REF!</v>
      </c>
    </row>
    <row r="39" spans="1:21" x14ac:dyDescent="0.25">
      <c r="A39" s="36" t="s">
        <v>94</v>
      </c>
      <c r="B39" s="49" t="str">
        <f>IF(COUNT(Vertices[Degree])&gt;0, D45, NoMetricMessage)</f>
        <v>Not Available</v>
      </c>
      <c r="D39" s="35">
        <f t="shared" si="1"/>
        <v>0</v>
      </c>
      <c r="E39" s="3">
        <f>COUNTIF(Vertices[Degree], "&gt;= " &amp; D39) - COUNTIF(Vertices[Degree], "&gt;=" &amp; D40)</f>
        <v>0</v>
      </c>
      <c r="F39" s="42">
        <f t="shared" si="2"/>
        <v>0</v>
      </c>
      <c r="G39" s="43">
        <f>COUNTIF(Vertices[In-Degree], "&gt;= " &amp; F39) - COUNTIF(Vertices[In-Degree], "&gt;=" &amp; F40)</f>
        <v>0</v>
      </c>
      <c r="H39" s="42">
        <f t="shared" si="3"/>
        <v>0</v>
      </c>
      <c r="I39" s="43">
        <f>COUNTIF(Vertices[Out-Degree], "&gt;= " &amp; H39) - COUNTIF(Vertices[Out-Degree], "&gt;=" &amp; H40)</f>
        <v>0</v>
      </c>
      <c r="J39" s="42">
        <f t="shared" si="4"/>
        <v>0</v>
      </c>
      <c r="K39" s="43">
        <f>COUNTIF(Vertices[Betweenness Centrality], "&gt;= " &amp; J39) - COUNTIF(Vertices[Betweenness Centrality], "&gt;=" &amp; J40)</f>
        <v>0</v>
      </c>
      <c r="L39" s="42">
        <f t="shared" si="5"/>
        <v>0</v>
      </c>
      <c r="M39" s="43">
        <f>COUNTIF(Vertices[Closeness Centrality], "&gt;= " &amp; L39) - COUNTIF(Vertices[Closeness Centrality], "&gt;=" &amp; L40)</f>
        <v>0</v>
      </c>
      <c r="N39" s="42">
        <f t="shared" si="6"/>
        <v>0</v>
      </c>
      <c r="O39" s="43">
        <f>COUNTIF(Vertices[Eigenvector Centrality], "&gt;= " &amp; N39) - COUNTIF(Vertices[Eigenvector Centrality], "&gt;=" &amp; N40)</f>
        <v>0</v>
      </c>
      <c r="P39" s="42">
        <f t="shared" si="7"/>
        <v>0</v>
      </c>
      <c r="Q39" s="43">
        <f>COUNTIF(Vertices[PageRank], "&gt;= " &amp; P39) - COUNTIF(Vertices[PageRank], "&gt;=" &amp; P40)</f>
        <v>0</v>
      </c>
      <c r="R39" s="42">
        <f t="shared" si="8"/>
        <v>0</v>
      </c>
      <c r="S39" s="47">
        <f>COUNTIF(Vertices[Clustering Coefficient], "&gt;= " &amp; R39) - COUNTIF(Vertices[Clustering Coefficient], "&gt;=" &amp; R40)</f>
        <v>0</v>
      </c>
      <c r="T39" s="42" t="e">
        <f t="shared" ca="1" si="9"/>
        <v>#REF!</v>
      </c>
      <c r="U39" s="43" t="e">
        <f t="shared" ca="1" si="0"/>
        <v>#REF!</v>
      </c>
    </row>
    <row r="40" spans="1:21" x14ac:dyDescent="0.25">
      <c r="A40" s="36" t="s">
        <v>95</v>
      </c>
      <c r="B40" s="50" t="str">
        <f>IFERROR(AVERAGE(Vertices[Degree]),NoMetricMessage)</f>
        <v>Not Available</v>
      </c>
      <c r="D40" s="35">
        <f t="shared" si="1"/>
        <v>0</v>
      </c>
      <c r="E40" s="3">
        <f>COUNTIF(Vertices[Degree], "&gt;= " &amp; D40) - COUNTIF(Vertices[Degree], "&gt;=" &amp; D41)</f>
        <v>0</v>
      </c>
      <c r="F40" s="40">
        <f t="shared" si="2"/>
        <v>0</v>
      </c>
      <c r="G40" s="41">
        <f>COUNTIF(Vertices[In-Degree], "&gt;= " &amp; F40) - COUNTIF(Vertices[In-Degree], "&gt;=" &amp; F41)</f>
        <v>0</v>
      </c>
      <c r="H40" s="40">
        <f t="shared" si="3"/>
        <v>0</v>
      </c>
      <c r="I40" s="41">
        <f>COUNTIF(Vertices[Out-Degree], "&gt;= " &amp; H40) - COUNTIF(Vertices[Out-Degree], "&gt;=" &amp; H41)</f>
        <v>0</v>
      </c>
      <c r="J40" s="40">
        <f t="shared" si="4"/>
        <v>0</v>
      </c>
      <c r="K40" s="41">
        <f>COUNTIF(Vertices[Betweenness Centrality], "&gt;= " &amp; J40) - COUNTIF(Vertices[Betweenness Centrality], "&gt;=" &amp; J41)</f>
        <v>0</v>
      </c>
      <c r="L40" s="40">
        <f t="shared" si="5"/>
        <v>0</v>
      </c>
      <c r="M40" s="41">
        <f>COUNTIF(Vertices[Closeness Centrality], "&gt;= " &amp; L40) - COUNTIF(Vertices[Closeness Centrality], "&gt;=" &amp; L41)</f>
        <v>0</v>
      </c>
      <c r="N40" s="40">
        <f t="shared" si="6"/>
        <v>0</v>
      </c>
      <c r="O40" s="41">
        <f>COUNTIF(Vertices[Eigenvector Centrality], "&gt;= " &amp; N40) - COUNTIF(Vertices[Eigenvector Centrality], "&gt;=" &amp; N41)</f>
        <v>0</v>
      </c>
      <c r="P40" s="40">
        <f t="shared" si="7"/>
        <v>0</v>
      </c>
      <c r="Q40" s="41">
        <f>COUNTIF(Vertices[PageRank], "&gt;= " &amp; P40) - COUNTIF(Vertices[PageRank], "&gt;=" &amp; P41)</f>
        <v>0</v>
      </c>
      <c r="R40" s="40">
        <f t="shared" si="8"/>
        <v>0</v>
      </c>
      <c r="S40" s="46">
        <f>COUNTIF(Vertices[Clustering Coefficient], "&gt;= " &amp; R40) - COUNTIF(Vertices[Clustering Coefficient], "&gt;=" &amp; R41)</f>
        <v>0</v>
      </c>
      <c r="T40" s="40" t="e">
        <f t="shared" ca="1" si="9"/>
        <v>#REF!</v>
      </c>
      <c r="U40" s="41" t="e">
        <f t="shared" ca="1" si="0"/>
        <v>#REF!</v>
      </c>
    </row>
    <row r="41" spans="1:21" x14ac:dyDescent="0.25">
      <c r="A41" s="36" t="s">
        <v>96</v>
      </c>
      <c r="B41" s="50" t="str">
        <f>IFERROR(MEDIAN(Vertices[Degree]),NoMetricMessage)</f>
        <v>Not Available</v>
      </c>
      <c r="D41" s="35">
        <f t="shared" si="1"/>
        <v>0</v>
      </c>
      <c r="E41" s="3">
        <f>COUNTIF(Vertices[Degree], "&gt;= " &amp; D41) - COUNTIF(Vertices[Degree], "&gt;=" &amp; D42)</f>
        <v>0</v>
      </c>
      <c r="F41" s="42">
        <f t="shared" si="2"/>
        <v>0</v>
      </c>
      <c r="G41" s="43">
        <f>COUNTIF(Vertices[In-Degree], "&gt;= " &amp; F41) - COUNTIF(Vertices[In-Degree], "&gt;=" &amp; F42)</f>
        <v>0</v>
      </c>
      <c r="H41" s="42">
        <f t="shared" si="3"/>
        <v>0</v>
      </c>
      <c r="I41" s="43">
        <f>COUNTIF(Vertices[Out-Degree], "&gt;= " &amp; H41) - COUNTIF(Vertices[Out-Degree], "&gt;=" &amp; H42)</f>
        <v>0</v>
      </c>
      <c r="J41" s="42">
        <f t="shared" si="4"/>
        <v>0</v>
      </c>
      <c r="K41" s="43">
        <f>COUNTIF(Vertices[Betweenness Centrality], "&gt;= " &amp; J41) - COUNTIF(Vertices[Betweenness Centrality], "&gt;=" &amp; J42)</f>
        <v>0</v>
      </c>
      <c r="L41" s="42">
        <f t="shared" si="5"/>
        <v>0</v>
      </c>
      <c r="M41" s="43">
        <f>COUNTIF(Vertices[Closeness Centrality], "&gt;= " &amp; L41) - COUNTIF(Vertices[Closeness Centrality], "&gt;=" &amp; L42)</f>
        <v>0</v>
      </c>
      <c r="N41" s="42">
        <f t="shared" si="6"/>
        <v>0</v>
      </c>
      <c r="O41" s="43">
        <f>COUNTIF(Vertices[Eigenvector Centrality], "&gt;= " &amp; N41) - COUNTIF(Vertices[Eigenvector Centrality], "&gt;=" &amp; N42)</f>
        <v>0</v>
      </c>
      <c r="P41" s="42">
        <f t="shared" si="7"/>
        <v>0</v>
      </c>
      <c r="Q41" s="43">
        <f>COUNTIF(Vertices[PageRank], "&gt;= " &amp; P41) - COUNTIF(Vertices[PageRank], "&gt;=" &amp; P42)</f>
        <v>0</v>
      </c>
      <c r="R41" s="42">
        <f t="shared" si="8"/>
        <v>0</v>
      </c>
      <c r="S41" s="47">
        <f>COUNTIF(Vertices[Clustering Coefficient], "&gt;= " &amp; R41) - COUNTIF(Vertices[Clustering Coefficient], "&gt;=" &amp; R42)</f>
        <v>0</v>
      </c>
      <c r="T41" s="42" t="e">
        <f t="shared" ca="1" si="9"/>
        <v>#REF!</v>
      </c>
      <c r="U41" s="43" t="e">
        <f t="shared" ca="1" si="0"/>
        <v>#REF!</v>
      </c>
    </row>
    <row r="42" spans="1:21" x14ac:dyDescent="0.25">
      <c r="D42" s="35">
        <f t="shared" si="1"/>
        <v>0</v>
      </c>
      <c r="E42" s="3">
        <f>COUNTIF(Vertices[Degree], "&gt;= " &amp; D42) - COUNTIF(Vertices[Degree], "&gt;=" &amp; D43)</f>
        <v>0</v>
      </c>
      <c r="F42" s="40">
        <f t="shared" si="2"/>
        <v>0</v>
      </c>
      <c r="G42" s="41">
        <f>COUNTIF(Vertices[In-Degree], "&gt;= " &amp; F42) - COUNTIF(Vertices[In-Degree], "&gt;=" &amp; F43)</f>
        <v>0</v>
      </c>
      <c r="H42" s="40">
        <f t="shared" si="3"/>
        <v>0</v>
      </c>
      <c r="I42" s="41">
        <f>COUNTIF(Vertices[Out-Degree], "&gt;= " &amp; H42) - COUNTIF(Vertices[Out-Degree], "&gt;=" &amp; H43)</f>
        <v>0</v>
      </c>
      <c r="J42" s="40">
        <f t="shared" si="4"/>
        <v>0</v>
      </c>
      <c r="K42" s="41">
        <f>COUNTIF(Vertices[Betweenness Centrality], "&gt;= " &amp; J42) - COUNTIF(Vertices[Betweenness Centrality], "&gt;=" &amp; J43)</f>
        <v>0</v>
      </c>
      <c r="L42" s="40">
        <f t="shared" si="5"/>
        <v>0</v>
      </c>
      <c r="M42" s="41">
        <f>COUNTIF(Vertices[Closeness Centrality], "&gt;= " &amp; L42) - COUNTIF(Vertices[Closeness Centrality], "&gt;=" &amp; L43)</f>
        <v>0</v>
      </c>
      <c r="N42" s="40">
        <f t="shared" si="6"/>
        <v>0</v>
      </c>
      <c r="O42" s="41">
        <f>COUNTIF(Vertices[Eigenvector Centrality], "&gt;= " &amp; N42) - COUNTIF(Vertices[Eigenvector Centrality], "&gt;=" &amp; N43)</f>
        <v>0</v>
      </c>
      <c r="P42" s="40">
        <f t="shared" si="7"/>
        <v>0</v>
      </c>
      <c r="Q42" s="41">
        <f>COUNTIF(Vertices[PageRank], "&gt;= " &amp; P42) - COUNTIF(Vertices[PageRank], "&gt;=" &amp; P43)</f>
        <v>0</v>
      </c>
      <c r="R42" s="40">
        <f t="shared" si="8"/>
        <v>0</v>
      </c>
      <c r="S42" s="46">
        <f>COUNTIF(Vertices[Clustering Coefficient], "&gt;= " &amp; R42) - COUNTIF(Vertices[Clustering Coefficient], "&gt;=" &amp; R43)</f>
        <v>0</v>
      </c>
      <c r="T42" s="40" t="e">
        <f t="shared" ca="1" si="9"/>
        <v>#REF!</v>
      </c>
      <c r="U42" s="41" t="e">
        <f t="shared" ca="1" si="0"/>
        <v>#REF!</v>
      </c>
    </row>
    <row r="43" spans="1:21" x14ac:dyDescent="0.25">
      <c r="D43" s="35">
        <f t="shared" si="1"/>
        <v>0</v>
      </c>
      <c r="E43" s="3">
        <f>COUNTIF(Vertices[Degree], "&gt;= " &amp; D43) - COUNTIF(Vertices[Degree], "&gt;=" &amp; D44)</f>
        <v>0</v>
      </c>
      <c r="F43" s="42">
        <f t="shared" si="2"/>
        <v>0</v>
      </c>
      <c r="G43" s="43">
        <f>COUNTIF(Vertices[In-Degree], "&gt;= " &amp; F43) - COUNTIF(Vertices[In-Degree], "&gt;=" &amp; F44)</f>
        <v>0</v>
      </c>
      <c r="H43" s="42">
        <f t="shared" si="3"/>
        <v>0</v>
      </c>
      <c r="I43" s="43">
        <f>COUNTIF(Vertices[Out-Degree], "&gt;= " &amp; H43) - COUNTIF(Vertices[Out-Degree], "&gt;=" &amp; H44)</f>
        <v>0</v>
      </c>
      <c r="J43" s="42">
        <f t="shared" si="4"/>
        <v>0</v>
      </c>
      <c r="K43" s="43">
        <f>COUNTIF(Vertices[Betweenness Centrality], "&gt;= " &amp; J43) - COUNTIF(Vertices[Betweenness Centrality], "&gt;=" &amp; J44)</f>
        <v>0</v>
      </c>
      <c r="L43" s="42">
        <f t="shared" si="5"/>
        <v>0</v>
      </c>
      <c r="M43" s="43">
        <f>COUNTIF(Vertices[Closeness Centrality], "&gt;= " &amp; L43) - COUNTIF(Vertices[Closeness Centrality], "&gt;=" &amp; L44)</f>
        <v>0</v>
      </c>
      <c r="N43" s="42">
        <f t="shared" si="6"/>
        <v>0</v>
      </c>
      <c r="O43" s="43">
        <f>COUNTIF(Vertices[Eigenvector Centrality], "&gt;= " &amp; N43) - COUNTIF(Vertices[Eigenvector Centrality], "&gt;=" &amp; N44)</f>
        <v>0</v>
      </c>
      <c r="P43" s="42">
        <f t="shared" si="7"/>
        <v>0</v>
      </c>
      <c r="Q43" s="43">
        <f>COUNTIF(Vertices[PageRank], "&gt;= " &amp; P43) - COUNTIF(Vertices[PageRank], "&gt;=" &amp; P44)</f>
        <v>0</v>
      </c>
      <c r="R43" s="42">
        <f t="shared" si="8"/>
        <v>0</v>
      </c>
      <c r="S43" s="47">
        <f>COUNTIF(Vertices[Clustering Coefficient], "&gt;= " &amp; R43) - COUNTIF(Vertices[Clustering Coefficient], "&gt;=" &amp; R44)</f>
        <v>0</v>
      </c>
      <c r="T43" s="42" t="e">
        <f t="shared" ca="1" si="9"/>
        <v>#REF!</v>
      </c>
      <c r="U43" s="43" t="e">
        <f t="shared" ca="1" si="0"/>
        <v>#REF!</v>
      </c>
    </row>
    <row r="44" spans="1:21" x14ac:dyDescent="0.25">
      <c r="D44" s="35">
        <f t="shared" si="1"/>
        <v>0</v>
      </c>
      <c r="E44" s="3">
        <f>COUNTIF(Vertices[Degree], "&gt;= " &amp; D44) - COUNTIF(Vertices[Degree], "&gt;=" &amp; D45)</f>
        <v>0</v>
      </c>
      <c r="F44" s="40">
        <f t="shared" si="2"/>
        <v>0</v>
      </c>
      <c r="G44" s="41">
        <f>COUNTIF(Vertices[In-Degree], "&gt;= " &amp; F44) - COUNTIF(Vertices[In-Degree], "&gt;=" &amp; F45)</f>
        <v>0</v>
      </c>
      <c r="H44" s="40">
        <f t="shared" si="3"/>
        <v>0</v>
      </c>
      <c r="I44" s="41">
        <f>COUNTIF(Vertices[Out-Degree], "&gt;= " &amp; H44) - COUNTIF(Vertices[Out-Degree], "&gt;=" &amp; H45)</f>
        <v>0</v>
      </c>
      <c r="J44" s="40">
        <f t="shared" si="4"/>
        <v>0</v>
      </c>
      <c r="K44" s="41">
        <f>COUNTIF(Vertices[Betweenness Centrality], "&gt;= " &amp; J44) - COUNTIF(Vertices[Betweenness Centrality], "&gt;=" &amp; J45)</f>
        <v>0</v>
      </c>
      <c r="L44" s="40">
        <f t="shared" si="5"/>
        <v>0</v>
      </c>
      <c r="M44" s="41">
        <f>COUNTIF(Vertices[Closeness Centrality], "&gt;= " &amp; L44) - COUNTIF(Vertices[Closeness Centrality], "&gt;=" &amp; L45)</f>
        <v>0</v>
      </c>
      <c r="N44" s="40">
        <f t="shared" si="6"/>
        <v>0</v>
      </c>
      <c r="O44" s="41">
        <f>COUNTIF(Vertices[Eigenvector Centrality], "&gt;= " &amp; N44) - COUNTIF(Vertices[Eigenvector Centrality], "&gt;=" &amp; N45)</f>
        <v>0</v>
      </c>
      <c r="P44" s="40">
        <f t="shared" si="7"/>
        <v>0</v>
      </c>
      <c r="Q44" s="41">
        <f>COUNTIF(Vertices[PageRank], "&gt;= " &amp; P44) - COUNTIF(Vertices[PageRank], "&gt;=" &amp; P45)</f>
        <v>0</v>
      </c>
      <c r="R44" s="40">
        <f t="shared" si="8"/>
        <v>0</v>
      </c>
      <c r="S44" s="46">
        <f>COUNTIF(Vertices[Clustering Coefficient], "&gt;= " &amp; R44) - COUNTIF(Vertices[Clustering Coefficient], "&gt;=" &amp; R45)</f>
        <v>0</v>
      </c>
      <c r="T44" s="40" t="e">
        <f t="shared" ca="1" si="9"/>
        <v>#REF!</v>
      </c>
      <c r="U44" s="41" t="e">
        <f t="shared" ca="1" si="0"/>
        <v>#REF!</v>
      </c>
    </row>
    <row r="45" spans="1:21" x14ac:dyDescent="0.25">
      <c r="D45" s="35">
        <f>MAX(Vertices[Degree])</f>
        <v>0</v>
      </c>
      <c r="E45" s="3">
        <f>COUNTIF(Vertices[Degree], "&gt;= " &amp; D45) - COUNTIF(Vertices[Degree], "&gt;=" &amp; D46)</f>
        <v>0</v>
      </c>
      <c r="F45" s="44">
        <f>MAX(Vertices[In-Degree])</f>
        <v>0</v>
      </c>
      <c r="G45" s="45">
        <f>COUNTIF(Vertices[In-Degree], "&gt;= " &amp; F45) - COUNTIF(Vertices[In-Degree], "&gt;=" &amp; F46)</f>
        <v>0</v>
      </c>
      <c r="H45" s="44">
        <f>MAX(Vertices[Out-Degree])</f>
        <v>0</v>
      </c>
      <c r="I45" s="45">
        <f>COUNTIF(Vertices[Out-Degree], "&gt;= " &amp; H45) - COUNTIF(Vertices[Out-Degree], "&gt;=" &amp; H46)</f>
        <v>0</v>
      </c>
      <c r="J45" s="44">
        <f>MAX(Vertices[Betweenness Centrality])</f>
        <v>0</v>
      </c>
      <c r="K45" s="45">
        <f>COUNTIF(Vertices[Betweenness Centrality], "&gt;= " &amp; J45) - COUNTIF(Vertices[Betweenness Centrality], "&gt;=" &amp; J46)</f>
        <v>0</v>
      </c>
      <c r="L45" s="44">
        <f>MAX(Vertices[Closeness Centrality])</f>
        <v>0</v>
      </c>
      <c r="M45" s="45">
        <f>COUNTIF(Vertices[Closeness Centrality], "&gt;= " &amp; L45) - COUNTIF(Vertices[Closeness Centrality], "&gt;=" &amp; L46)</f>
        <v>0</v>
      </c>
      <c r="N45" s="44">
        <f>MAX(Vertices[Eigenvector Centrality])</f>
        <v>0</v>
      </c>
      <c r="O45" s="45">
        <f>COUNTIF(Vertices[Eigenvector Centrality], "&gt;= " &amp; N45) - COUNTIF(Vertices[Eigenvector Centrality], "&gt;=" &amp; N46)</f>
        <v>0</v>
      </c>
      <c r="P45" s="44">
        <f>MAX(Vertices[PageRank])</f>
        <v>0</v>
      </c>
      <c r="Q45" s="45">
        <f>COUNTIF(Vertices[PageRank], "&gt;= " &amp; P45) - COUNTIF(Vertices[PageRank], "&gt;=" &amp; P46)</f>
        <v>0</v>
      </c>
      <c r="R45" s="44">
        <f>MAX(Vertices[Clustering Coefficient])</f>
        <v>0</v>
      </c>
      <c r="S45" s="48">
        <f>COUNTIF(Vertices[Clustering Coefficient], "&gt;= " &amp; R45) - COUNTIF(Vertices[Clustering Coefficient], "&gt;=" &amp; R46)</f>
        <v>0</v>
      </c>
      <c r="T45" s="44" t="e">
        <f ca="1">MAX(INDIRECT(DynamicFilterSourceColumnRange))</f>
        <v>#REF!</v>
      </c>
      <c r="U45" s="45" t="e">
        <f t="shared" ca="1" si="0"/>
        <v>#REF!</v>
      </c>
    </row>
    <row r="52" spans="1:2" x14ac:dyDescent="0.25">
      <c r="A52" s="36" t="s">
        <v>100</v>
      </c>
      <c r="B52" s="49" t="str">
        <f>IF(COUNT(Vertices[In-Degree])&gt;0, F2, NoMetricMessage)</f>
        <v>Not Available</v>
      </c>
    </row>
    <row r="53" spans="1:2" x14ac:dyDescent="0.25">
      <c r="A53" s="36" t="s">
        <v>101</v>
      </c>
      <c r="B53" s="49" t="str">
        <f>IF(COUNT(Vertices[In-Degree])&gt;0, F45, NoMetricMessage)</f>
        <v>Not Available</v>
      </c>
    </row>
    <row r="54" spans="1:2" x14ac:dyDescent="0.25">
      <c r="A54" s="36" t="s">
        <v>102</v>
      </c>
      <c r="B54" s="50" t="str">
        <f>IFERROR(AVERAGE(Vertices[In-Degree]),NoMetricMessage)</f>
        <v>Not Available</v>
      </c>
    </row>
    <row r="55" spans="1:2" x14ac:dyDescent="0.25">
      <c r="A55" s="36" t="s">
        <v>103</v>
      </c>
      <c r="B55" s="50" t="str">
        <f>IFERROR(MEDIAN(Vertices[In-Degree]),NoMetricMessage)</f>
        <v>Not Available</v>
      </c>
    </row>
    <row r="66" spans="1:2" x14ac:dyDescent="0.25">
      <c r="A66" s="36" t="s">
        <v>106</v>
      </c>
      <c r="B66" s="49" t="str">
        <f>IF(COUNT(Vertices[Out-Degree])&gt;0, H2, NoMetricMessage)</f>
        <v>Not Available</v>
      </c>
    </row>
    <row r="67" spans="1:2" x14ac:dyDescent="0.25">
      <c r="A67" s="36" t="s">
        <v>107</v>
      </c>
      <c r="B67" s="49" t="str">
        <f>IF(COUNT(Vertices[Out-Degree])&gt;0, H45, NoMetricMessage)</f>
        <v>Not Available</v>
      </c>
    </row>
    <row r="68" spans="1:2" x14ac:dyDescent="0.25">
      <c r="A68" s="36" t="s">
        <v>108</v>
      </c>
      <c r="B68" s="50" t="str">
        <f>IFERROR(AVERAGE(Vertices[Out-Degree]),NoMetricMessage)</f>
        <v>Not Available</v>
      </c>
    </row>
    <row r="69" spans="1:2" x14ac:dyDescent="0.25">
      <c r="A69" s="36" t="s">
        <v>109</v>
      </c>
      <c r="B69" s="50" t="str">
        <f>IFERROR(MEDIAN(Vertices[Out-Degree]),NoMetricMessage)</f>
        <v>Not Available</v>
      </c>
    </row>
    <row r="80" spans="1:2" x14ac:dyDescent="0.25">
      <c r="A80" s="36" t="s">
        <v>112</v>
      </c>
      <c r="B80" s="50" t="str">
        <f>IF(COUNT(Vertices[Betweenness Centrality])&gt;0, J2, NoMetricMessage)</f>
        <v>Not Available</v>
      </c>
    </row>
    <row r="81" spans="1:2" x14ac:dyDescent="0.25">
      <c r="A81" s="36" t="s">
        <v>113</v>
      </c>
      <c r="B81" s="50" t="str">
        <f>IF(COUNT(Vertices[Betweenness Centrality])&gt;0, J45, NoMetricMessage)</f>
        <v>Not Available</v>
      </c>
    </row>
    <row r="82" spans="1:2" x14ac:dyDescent="0.25">
      <c r="A82" s="36" t="s">
        <v>114</v>
      </c>
      <c r="B82" s="50" t="str">
        <f>IFERROR(AVERAGE(Vertices[Betweenness Centrality]),NoMetricMessage)</f>
        <v>Not Available</v>
      </c>
    </row>
    <row r="83" spans="1:2" x14ac:dyDescent="0.25">
      <c r="A83" s="36" t="s">
        <v>115</v>
      </c>
      <c r="B83" s="50" t="str">
        <f>IFERROR(MEDIAN(Vertices[Betweenness Centrality]),NoMetricMessage)</f>
        <v>Not Available</v>
      </c>
    </row>
    <row r="94" spans="1:2" x14ac:dyDescent="0.25">
      <c r="A94" s="36" t="s">
        <v>118</v>
      </c>
      <c r="B94" s="50" t="str">
        <f>IF(COUNT(Vertices[Closeness Centrality])&gt;0, L2, NoMetricMessage)</f>
        <v>Not Available</v>
      </c>
    </row>
    <row r="95" spans="1:2" x14ac:dyDescent="0.25">
      <c r="A95" s="36" t="s">
        <v>119</v>
      </c>
      <c r="B95" s="50" t="str">
        <f>IF(COUNT(Vertices[Closeness Centrality])&gt;0, L45, NoMetricMessage)</f>
        <v>Not Available</v>
      </c>
    </row>
    <row r="96" spans="1:2" x14ac:dyDescent="0.25">
      <c r="A96" s="36" t="s">
        <v>120</v>
      </c>
      <c r="B96" s="50" t="str">
        <f>IFERROR(AVERAGE(Vertices[Closeness Centrality]),NoMetricMessage)</f>
        <v>Not Available</v>
      </c>
    </row>
    <row r="97" spans="1:2" x14ac:dyDescent="0.25">
      <c r="A97" s="36" t="s">
        <v>121</v>
      </c>
      <c r="B97" s="50" t="str">
        <f>IFERROR(MEDIAN(Vertices[Closeness Centrality]),NoMetricMessage)</f>
        <v>Not Available</v>
      </c>
    </row>
    <row r="108" spans="1:2" x14ac:dyDescent="0.25">
      <c r="A108" s="36" t="s">
        <v>124</v>
      </c>
      <c r="B108" s="50" t="str">
        <f>IF(COUNT(Vertices[Eigenvector Centrality])&gt;0, N2, NoMetricMessage)</f>
        <v>Not Available</v>
      </c>
    </row>
    <row r="109" spans="1:2" x14ac:dyDescent="0.25">
      <c r="A109" s="36" t="s">
        <v>125</v>
      </c>
      <c r="B109" s="50" t="str">
        <f>IF(COUNT(Vertices[Eigenvector Centrality])&gt;0, N45, NoMetricMessage)</f>
        <v>Not Available</v>
      </c>
    </row>
    <row r="110" spans="1:2" x14ac:dyDescent="0.25">
      <c r="A110" s="36" t="s">
        <v>126</v>
      </c>
      <c r="B110" s="50" t="str">
        <f>IFERROR(AVERAGE(Vertices[Eigenvector Centrality]),NoMetricMessage)</f>
        <v>Not Available</v>
      </c>
    </row>
    <row r="111" spans="1:2" x14ac:dyDescent="0.25">
      <c r="A111" s="36" t="s">
        <v>127</v>
      </c>
      <c r="B111" s="50" t="str">
        <f>IFERROR(MEDIAN(Vertices[Eigenvector Centrality]),NoMetricMessage)</f>
        <v>Not Available</v>
      </c>
    </row>
    <row r="122" spans="1:2" x14ac:dyDescent="0.25">
      <c r="A122" s="36" t="s">
        <v>152</v>
      </c>
      <c r="B122" s="50" t="str">
        <f>IF(COUNT(Vertices[PageRank])&gt;0, P2, NoMetricMessage)</f>
        <v>Not Available</v>
      </c>
    </row>
    <row r="123" spans="1:2" x14ac:dyDescent="0.25">
      <c r="A123" s="36" t="s">
        <v>153</v>
      </c>
      <c r="B123" s="50" t="str">
        <f>IF(COUNT(Vertices[PageRank])&gt;0, P45, NoMetricMessage)</f>
        <v>Not Available</v>
      </c>
    </row>
    <row r="124" spans="1:2" x14ac:dyDescent="0.25">
      <c r="A124" s="36" t="s">
        <v>154</v>
      </c>
      <c r="B124" s="50" t="str">
        <f>IFERROR(AVERAGE(Vertices[PageRank]),NoMetricMessage)</f>
        <v>Not Available</v>
      </c>
    </row>
    <row r="125" spans="1:2" x14ac:dyDescent="0.25">
      <c r="A125" s="36" t="s">
        <v>155</v>
      </c>
      <c r="B125" s="50" t="str">
        <f>IFERROR(MEDIAN(Vertices[PageRank]),NoMetricMessage)</f>
        <v>Not Available</v>
      </c>
    </row>
    <row r="136" spans="1:2" x14ac:dyDescent="0.25">
      <c r="A136" s="36" t="s">
        <v>130</v>
      </c>
      <c r="B136" s="50" t="str">
        <f>IF(COUNT(Vertices[Clustering Coefficient])&gt;0, R2, NoMetricMessage)</f>
        <v>Not Available</v>
      </c>
    </row>
    <row r="137" spans="1:2" x14ac:dyDescent="0.25">
      <c r="A137" s="36" t="s">
        <v>131</v>
      </c>
      <c r="B137" s="50" t="str">
        <f>IF(COUNT(Vertices[Clustering Coefficient])&gt;0, R45, NoMetricMessage)</f>
        <v>Not Available</v>
      </c>
    </row>
    <row r="138" spans="1:2" x14ac:dyDescent="0.25">
      <c r="A138" s="36" t="s">
        <v>132</v>
      </c>
      <c r="B138" s="50" t="str">
        <f>IFERROR(AVERAGE(Vertices[Clustering Coefficient]),NoMetricMessage)</f>
        <v>Not Available</v>
      </c>
    </row>
    <row r="139" spans="1:2" x14ac:dyDescent="0.25">
      <c r="A139" s="36" t="s">
        <v>133</v>
      </c>
      <c r="B139" s="50"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5" width="16.85546875" customWidth="1"/>
    <col min="6" max="6" width="14.28515625" bestFit="1" customWidth="1"/>
    <col min="7" max="7" width="14.28515625" customWidth="1"/>
    <col min="9" max="9" width="39.140625" bestFit="1" customWidth="1"/>
    <col min="10" max="10" width="10.85546875" bestFit="1" customWidth="1"/>
    <col min="12" max="12" width="8.42578125" bestFit="1" customWidth="1"/>
    <col min="13" max="13" width="10" bestFit="1" customWidth="1"/>
    <col min="14" max="14" width="11.85546875" bestFit="1" customWidth="1"/>
    <col min="15" max="15" width="12.140625" bestFit="1" customWidth="1"/>
  </cols>
  <sheetData>
    <row r="1" spans="1:17" s="4" customFormat="1" ht="36" customHeight="1" x14ac:dyDescent="0.25">
      <c r="A1" s="5" t="s">
        <v>6</v>
      </c>
      <c r="B1" s="5" t="s">
        <v>143</v>
      </c>
      <c r="C1" s="4" t="s">
        <v>7</v>
      </c>
      <c r="D1" s="4" t="s">
        <v>9</v>
      </c>
      <c r="E1" s="4" t="s">
        <v>179</v>
      </c>
      <c r="F1" s="4" t="s">
        <v>14</v>
      </c>
      <c r="G1" s="4" t="s">
        <v>76</v>
      </c>
      <c r="I1" s="4" t="s">
        <v>18</v>
      </c>
      <c r="J1" s="4" t="s">
        <v>17</v>
      </c>
      <c r="L1" s="4" t="s">
        <v>22</v>
      </c>
      <c r="M1" s="4" t="s">
        <v>23</v>
      </c>
      <c r="N1" s="4" t="s">
        <v>24</v>
      </c>
      <c r="O1" s="4" t="s">
        <v>25</v>
      </c>
    </row>
    <row r="2" spans="1:17" x14ac:dyDescent="0.25">
      <c r="A2" s="1" t="s">
        <v>60</v>
      </c>
      <c r="B2" s="1" t="s">
        <v>144</v>
      </c>
      <c r="C2" t="s">
        <v>63</v>
      </c>
      <c r="D2" t="s">
        <v>64</v>
      </c>
      <c r="E2" t="s">
        <v>64</v>
      </c>
      <c r="F2" t="s">
        <v>74</v>
      </c>
      <c r="G2" t="s">
        <v>174</v>
      </c>
      <c r="I2" t="s">
        <v>19</v>
      </c>
      <c r="J2">
        <v>91</v>
      </c>
    </row>
    <row r="3" spans="1:17" x14ac:dyDescent="0.25">
      <c r="A3" s="1" t="s">
        <v>61</v>
      </c>
      <c r="B3" s="1" t="s">
        <v>145</v>
      </c>
      <c r="C3" t="s">
        <v>61</v>
      </c>
      <c r="D3" t="s">
        <v>65</v>
      </c>
      <c r="E3" t="s">
        <v>65</v>
      </c>
      <c r="F3" t="s">
        <v>75</v>
      </c>
      <c r="G3" t="s">
        <v>77</v>
      </c>
      <c r="I3" s="12" t="s">
        <v>30</v>
      </c>
      <c r="J3" s="13">
        <v>0</v>
      </c>
    </row>
    <row r="4" spans="1:17" x14ac:dyDescent="0.25">
      <c r="A4" s="1" t="s">
        <v>62</v>
      </c>
      <c r="B4" s="1" t="s">
        <v>146</v>
      </c>
      <c r="C4" t="s">
        <v>62</v>
      </c>
      <c r="D4" t="s">
        <v>66</v>
      </c>
      <c r="E4" t="s">
        <v>66</v>
      </c>
      <c r="F4">
        <v>0</v>
      </c>
      <c r="G4" t="s">
        <v>78</v>
      </c>
      <c r="I4" t="s">
        <v>31</v>
      </c>
      <c r="J4" t="s">
        <v>32</v>
      </c>
    </row>
    <row r="5" spans="1:17" x14ac:dyDescent="0.25">
      <c r="A5">
        <v>1</v>
      </c>
      <c r="B5" s="1" t="s">
        <v>147</v>
      </c>
      <c r="C5" t="s">
        <v>60</v>
      </c>
      <c r="D5" t="s">
        <v>67</v>
      </c>
      <c r="E5" t="s">
        <v>67</v>
      </c>
      <c r="F5">
        <v>1</v>
      </c>
      <c r="G5" t="s">
        <v>79</v>
      </c>
      <c r="I5" s="12" t="s">
        <v>42</v>
      </c>
      <c r="J5" s="12" t="b">
        <v>1</v>
      </c>
    </row>
    <row r="6" spans="1:17" x14ac:dyDescent="0.25">
      <c r="A6">
        <v>0</v>
      </c>
      <c r="B6" s="1" t="s">
        <v>148</v>
      </c>
      <c r="C6">
        <v>1</v>
      </c>
      <c r="D6" t="s">
        <v>68</v>
      </c>
      <c r="E6" t="s">
        <v>68</v>
      </c>
      <c r="G6" t="s">
        <v>80</v>
      </c>
      <c r="I6" s="12" t="s">
        <v>87</v>
      </c>
      <c r="J6" s="12" t="b">
        <v>1</v>
      </c>
      <c r="Q6" t="s">
        <v>141</v>
      </c>
    </row>
    <row r="7" spans="1:17" x14ac:dyDescent="0.25">
      <c r="A7">
        <v>2</v>
      </c>
      <c r="B7">
        <v>1</v>
      </c>
      <c r="C7">
        <v>0</v>
      </c>
      <c r="D7" t="s">
        <v>69</v>
      </c>
      <c r="E7" t="s">
        <v>69</v>
      </c>
      <c r="G7" t="s">
        <v>81</v>
      </c>
      <c r="I7" s="12" t="s">
        <v>47</v>
      </c>
      <c r="J7" s="12" t="b">
        <v>1</v>
      </c>
    </row>
    <row r="8" spans="1:17" x14ac:dyDescent="0.25">
      <c r="A8"/>
      <c r="B8">
        <v>2</v>
      </c>
      <c r="C8">
        <v>2</v>
      </c>
      <c r="D8" t="s">
        <v>70</v>
      </c>
      <c r="E8" t="s">
        <v>70</v>
      </c>
      <c r="G8" t="s">
        <v>82</v>
      </c>
      <c r="I8" s="12" t="s">
        <v>40</v>
      </c>
      <c r="J8" s="12" t="b">
        <v>0</v>
      </c>
    </row>
    <row r="9" spans="1:17" x14ac:dyDescent="0.25">
      <c r="A9"/>
      <c r="B9">
        <v>3</v>
      </c>
      <c r="C9">
        <v>4</v>
      </c>
      <c r="D9" t="s">
        <v>71</v>
      </c>
      <c r="E9" t="s">
        <v>71</v>
      </c>
      <c r="G9" t="s">
        <v>83</v>
      </c>
      <c r="I9" s="12" t="s">
        <v>41</v>
      </c>
      <c r="J9" s="12" t="b">
        <v>1</v>
      </c>
    </row>
    <row r="10" spans="1:17" x14ac:dyDescent="0.25">
      <c r="A10"/>
      <c r="B10">
        <v>4</v>
      </c>
      <c r="D10" t="s">
        <v>72</v>
      </c>
      <c r="E10" t="s">
        <v>72</v>
      </c>
      <c r="G10" t="s">
        <v>84</v>
      </c>
      <c r="I10" s="12" t="s">
        <v>43</v>
      </c>
      <c r="J10" s="12" t="b">
        <v>1</v>
      </c>
    </row>
    <row r="11" spans="1:17" x14ac:dyDescent="0.25">
      <c r="A11"/>
      <c r="B11">
        <v>5</v>
      </c>
      <c r="D11" t="s">
        <v>55</v>
      </c>
      <c r="E11">
        <v>1</v>
      </c>
      <c r="G11" t="s">
        <v>85</v>
      </c>
      <c r="I11" s="12" t="s">
        <v>44</v>
      </c>
      <c r="J11" s="12" t="b">
        <v>0</v>
      </c>
    </row>
    <row r="12" spans="1:17" x14ac:dyDescent="0.25">
      <c r="A12"/>
      <c r="B12"/>
      <c r="D12" t="s">
        <v>73</v>
      </c>
      <c r="E12">
        <v>2</v>
      </c>
      <c r="G12">
        <v>0</v>
      </c>
      <c r="I12" s="12" t="s">
        <v>46</v>
      </c>
      <c r="J12" s="12" t="b">
        <v>1</v>
      </c>
    </row>
    <row r="13" spans="1:17" x14ac:dyDescent="0.25">
      <c r="A13"/>
      <c r="B13"/>
      <c r="D13">
        <v>1</v>
      </c>
      <c r="E13">
        <v>3</v>
      </c>
      <c r="G13">
        <v>1</v>
      </c>
      <c r="I13" s="12" t="s">
        <v>160</v>
      </c>
      <c r="J13" s="12" t="b">
        <v>1</v>
      </c>
    </row>
    <row r="14" spans="1:17" x14ac:dyDescent="0.25">
      <c r="D14">
        <v>2</v>
      </c>
      <c r="E14">
        <v>4</v>
      </c>
      <c r="G14">
        <v>2</v>
      </c>
      <c r="I14" s="12" t="s">
        <v>161</v>
      </c>
      <c r="J14" s="12" t="b">
        <v>1</v>
      </c>
    </row>
    <row r="15" spans="1:17" x14ac:dyDescent="0.25">
      <c r="D15">
        <v>3</v>
      </c>
      <c r="E15">
        <v>5</v>
      </c>
      <c r="G15">
        <v>3</v>
      </c>
      <c r="I15" s="12" t="s">
        <v>173</v>
      </c>
      <c r="J15" s="12" t="b">
        <v>0</v>
      </c>
    </row>
    <row r="16" spans="1:17" x14ac:dyDescent="0.25">
      <c r="D16">
        <v>4</v>
      </c>
      <c r="E16">
        <v>6</v>
      </c>
      <c r="G16">
        <v>4</v>
      </c>
      <c r="I16" s="12" t="s">
        <v>88</v>
      </c>
      <c r="J16" s="12"/>
    </row>
    <row r="17" spans="4:10" x14ac:dyDescent="0.25">
      <c r="D17">
        <v>5</v>
      </c>
      <c r="E17">
        <v>7</v>
      </c>
      <c r="G17">
        <v>5</v>
      </c>
      <c r="I17" s="12" t="s">
        <v>89</v>
      </c>
      <c r="J17" s="12"/>
    </row>
    <row r="18" spans="4:10" x14ac:dyDescent="0.25">
      <c r="D18">
        <v>6</v>
      </c>
      <c r="E18">
        <v>8</v>
      </c>
      <c r="G18">
        <v>6</v>
      </c>
      <c r="I18" s="12" t="s">
        <v>90</v>
      </c>
      <c r="J18" s="12"/>
    </row>
    <row r="19" spans="4:10" x14ac:dyDescent="0.25">
      <c r="D19">
        <v>7</v>
      </c>
      <c r="E19">
        <v>9</v>
      </c>
      <c r="G19">
        <v>7</v>
      </c>
    </row>
    <row r="20" spans="4:10" x14ac:dyDescent="0.25">
      <c r="D20">
        <v>8</v>
      </c>
      <c r="G20">
        <v>8</v>
      </c>
    </row>
    <row r="21" spans="4:10" x14ac:dyDescent="0.25">
      <c r="D21">
        <v>9</v>
      </c>
      <c r="G21">
        <v>9</v>
      </c>
    </row>
    <row r="22" spans="4:10" x14ac:dyDescent="0.25">
      <c r="D22">
        <v>10</v>
      </c>
    </row>
    <row r="23" spans="4:10"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ValidVertexLabelPositions</vt:lpstr>
      <vt:lpstr>ValidVertexShapes</vt:lpstr>
      <vt:lpstr>ValidVertexVisibilities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test</cp:lastModifiedBy>
  <dcterms:created xsi:type="dcterms:W3CDTF">2008-01-30T00:41:58Z</dcterms:created>
  <dcterms:modified xsi:type="dcterms:W3CDTF">2011-03-10T18:13:46Z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